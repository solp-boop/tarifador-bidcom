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3" name="Tarifario" state="visible" r:id="rId5"/>
    <sheet sheetId="4" name="Gastos en origen" state="visible" r:id="rId6"/>
    <sheet sheetId="2" name="Listas" state="visible" r:id="rId7"/>
  </sheets>
  <definedNames>
    <definedName name="_xlnm.Print_Titles" localSheetId="1">'Tarifario'!$3:$4</definedName>
    <definedName name="_xlnm.Print_Titles" localSheetId="2">'Gastos en origen'!$3:$4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C4" authorId="0">
      <text>
        <r>
          <t>Aerolínea habitual para esta ruta.</t>
        </r>
      </text>
    </comment>
    <comment ref="F4" authorId="0">
      <text>
        <r>
          <t>Minimum charge del flete.</t>
        </r>
      </text>
    </comment>
    <comment ref="G4" authorId="0">
      <text>
        <r>
          <t>Tarifa por kg para envíos desde 45 kg. Un valor propio de esta ruta, no una fórmula a partir de otra.</t>
        </r>
      </text>
    </comment>
    <comment ref="H4" authorId="0">
      <text>
        <r>
          <t>Tarifa por kg para envíos desde 100 kg. Un valor propio de esta ruta, no una fórmula a partir de otra.</t>
        </r>
      </text>
    </comment>
    <comment ref="I4" authorId="0">
      <text>
        <r>
          <t>Tarifa por kg para envíos desde 300 kg. Un valor propio de esta ruta, no una fórmula a partir de otra.</t>
        </r>
      </text>
    </comment>
    <comment ref="J4" authorId="0">
      <text>
        <r>
          <t>Tarifa por kg para envíos desde 500 kg. Un valor propio de esta ruta, no una fórmula a partir de otra.</t>
        </r>
      </text>
    </comment>
    <comment ref="K4" authorId="0">
      <text>
        <r>
          <t>Tarifa por kg para envíos desde 1000 kg. Un valor propio de esta ruta, no una fórmula a partir de otra.</t>
        </r>
      </text>
    </comment>
    <comment ref="M4" authorId="0">
      <text>
        <r>
          <t>Dejalo vacío si el IMO es a pedido.</t>
        </r>
      </text>
    </comment>
    <comment ref="N4" authorId="0">
      <text>
        <r>
          <t>SI si el IMO se cotiza a pedido. No se suma al all-in.</t>
        </r>
      </text>
    </comment>
    <comment ref="O4" authorId="0">
      <text>
        <r>
          <t>Estimado típico por embarque en destino.</t>
        </r>
      </text>
    </comment>
    <comment ref="P4" authorId="0">
      <text>
        <r>
          <t>Formato dd/mm/aaaa.</t>
        </r>
      </text>
    </comment>
    <comment ref="R4" authorId="0">
      <text>
        <r>
          <t>Se calcula sola. Verde: fila completa. Rojo: dice qué falta.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4" authorId="0">
      <text>
        <r>
          <t>Si es un concepto fuera de la lista, escribilo y completá la Descripción.</t>
        </r>
      </text>
    </comment>
    <comment ref="D4" authorId="0">
      <text>
        <r>
          <t>Si es Por kg, la tarifa por kg (ej. 0,15).</t>
        </r>
      </text>
    </comment>
    <comment ref="F4" authorId="0">
      <text>
        <r>
          <t>Obligatorio si la unidad es Por kg (ej. mínimo USD 55).</t>
        </r>
      </text>
    </comment>
    <comment ref="G4" authorId="0">
      <text>
        <r>
          <t>SI si no tenés el valor. No se suma al all-in.</t>
        </r>
      </text>
    </comment>
    <comment ref="I4" authorId="0">
      <text>
        <r>
          <t>Se calcula sola.</t>
        </r>
      </text>
    </comment>
  </commentList>
</comments>
</file>

<file path=xl/sharedStrings.xml><?xml version="1.0" encoding="utf-8"?>
<sst xmlns="http://schemas.openxmlformats.org/spreadsheetml/2006/main" count="171" uniqueCount="97">
  <si>
    <t>Tarifario aéreo semanal BIDCOM</t>
  </si>
  <si>
    <t>EJEMPLO COMPLETO. Semana WK-2026-W41 · período 05/10/2026 al 11/10/2026 · respuesta hasta el 06/10/2026</t>
  </si>
  <si>
    <t>LO IMPORTANTE</t>
  </si>
  <si>
    <t>!</t>
  </si>
  <si>
    <t>Gastos en origen. Completá la solapa Gastos en origen para cada aeropuerto, concepto por concepto. BIDCOM la va a usar como base para negociar gastos en origen en una etapa próxima.</t>
  </si>
  <si>
    <t>•</t>
  </si>
  <si>
    <t>Si un gasto se cobra por kg, indicá la tarifa por kg y el mínimo (ej. USD 0,15 por kg, mínimo USD 55).</t>
  </si>
  <si>
    <t>Completá el mínimo y los cinco breaks (45, 100, 300, 500 y 1000 kg) con valores propios de cada ruta, no calculados a partir de otra ruta.</t>
  </si>
  <si>
    <t>Fuel e IMO en USD por kg. Si el IMO es a pedido, marcalo como "a pedido": no se suma al all-in.</t>
  </si>
  <si>
    <t>Devolvé el tarifario cada semana aunque no cambie: así queda registrado que sigue vigente.</t>
  </si>
  <si>
    <t>CÓMO COMPLETAR</t>
  </si>
  <si>
    <t>1</t>
  </si>
  <si>
    <t>Hoja Tarifario: ya están las rutas que pide BIDCOM esta semana. Completá una fila por ruta. Si no cotizás una ruta, dejala vacía.</t>
  </si>
  <si>
    <t>2</t>
  </si>
  <si>
    <t>Completá el mínimo y la tarifa USD por kg de cada peso (45, 100, 300, 500 y 1000 kg). Fuel e IMO van en USD por kg.</t>
  </si>
  <si>
    <t>3</t>
  </si>
  <si>
    <t>Si el IMO es a pedido, elegí SI en la columna IMO a pedido y dejá vacío el IMO.</t>
  </si>
  <si>
    <t>4</t>
  </si>
  <si>
    <t>Hoja Gastos en origen: ya están los conceptos de cada aeropuerto. Completá el importe y elegí la unidad: Fijo por embarque o Por kg. Si es por kg, completá el Mínimo.</t>
  </si>
  <si>
    <t>5</t>
  </si>
  <si>
    <t>Si no tenés el valor de un concepto, elegí SI en A pedido. Si cobrás un concepto que no está en la lista, agregá una fila y completá la Descripción.</t>
  </si>
  <si>
    <t>6</t>
  </si>
  <si>
    <t>Revisá la columna Control de cada hoja: tiene que quedar en verde.</t>
  </si>
  <si>
    <t>QUÉ SIGNIFICA CADA COLOR</t>
  </si>
  <si>
    <t>Amarillo: dato obligatorio.</t>
  </si>
  <si>
    <t>Celeste: dato opcional o que depende del caso (por ejemplo, el puerto de transbordo).</t>
  </si>
  <si>
    <t>Gris: se calcula solo. No escribir.</t>
  </si>
  <si>
    <t>Columna Control en verde: la fila está completa.</t>
  </si>
  <si>
    <t>Columna Control en rojo: dice qué dato falta en esa fila.</t>
  </si>
  <si>
    <t>AL TERMINAR</t>
  </si>
  <si>
    <t>✓</t>
  </si>
  <si>
    <t>Guardá el archivo y subilo en el portal BIDCOM (Importar Excel) o envialo a BIDCOM. Antes de importar vas a ver una vista previa con cualquier dato que falte.</t>
  </si>
  <si>
    <t>Tarifario aéreo · semana WK-2026-W41 · una fila por ruta</t>
  </si>
  <si>
    <t>Amarillo: obligatorio. Celeste: opcional. Tarifas en USD por kg. BIDCOM compara el all-in por kg a 500 kg (flete + fuel + IMO + gastos en origen + gastos destino). La columna Control te dice qué falta.</t>
  </si>
  <si>
    <t>RUTA</t>
  </si>
  <si>
    <t>FLETE: MÍNIMO Y TARIFA USD POR KG SEGÚN PESO</t>
  </si>
  <si>
    <t>RECARGOS USD/KG</t>
  </si>
  <si>
    <t>DESTINO Y VIGENCIA</t>
  </si>
  <si>
    <t>CONTROL</t>
  </si>
  <si>
    <t>Origen</t>
  </si>
  <si>
    <t>Destino</t>
  </si>
  <si>
    <t>Aerolínea</t>
  </si>
  <si>
    <t>Tránsito (días)</t>
  </si>
  <si>
    <t>Moneda</t>
  </si>
  <si>
    <t>Mínimo</t>
  </si>
  <si>
    <t>45 kg</t>
  </si>
  <si>
    <t>100 kg</t>
  </si>
  <si>
    <t>300 kg</t>
  </si>
  <si>
    <t>500 kg</t>
  </si>
  <si>
    <t>1000 kg</t>
  </si>
  <si>
    <t>Fuel USD/kg</t>
  </si>
  <si>
    <t>IMO USD/kg</t>
  </si>
  <si>
    <t>IMO a pedido</t>
  </si>
  <si>
    <t>Gastos destino USD</t>
  </si>
  <si>
    <t>Vigencia hasta</t>
  </si>
  <si>
    <t>Observaciones</t>
  </si>
  <si>
    <t>Control</t>
  </si>
  <si>
    <t>Miami - MIA</t>
  </si>
  <si>
    <t>Buenos Aires - EZE</t>
  </si>
  <si>
    <t>Aerolínea Demo 1</t>
  </si>
  <si>
    <t>USD</t>
  </si>
  <si>
    <t>SI</t>
  </si>
  <si>
    <t>Vuelo directo</t>
  </si>
  <si>
    <t>Shanghai - PVG</t>
  </si>
  <si>
    <t>Aerolínea Demo 3</t>
  </si>
  <si>
    <t>NO</t>
  </si>
  <si>
    <t>Vía Doha</t>
  </si>
  <si>
    <t>Gastos en origen por aeropuerto · un concepto por fila (IMPORTANTE: base de la negociación de gastos en origen)</t>
  </si>
  <si>
    <t>Completá cada concepto de cada aeropuerto. Unidad: Fijo por embarque, o Por kg con su mínimo. Si no tenés el valor, elegí SI en A pedido. No envíes un total sin desglose.</t>
  </si>
  <si>
    <t>CONCEPTO POR CONCEPTO</t>
  </si>
  <si>
    <t>CONCEPTOS ADICIONALES</t>
  </si>
  <si>
    <t>Aeropuerto</t>
  </si>
  <si>
    <t>Concepto</t>
  </si>
  <si>
    <t>Importe</t>
  </si>
  <si>
    <t>Unidad</t>
  </si>
  <si>
    <t>A pedido</t>
  </si>
  <si>
    <t>Descripción</t>
  </si>
  <si>
    <t>Pick up</t>
  </si>
  <si>
    <t>Fijo por embarque</t>
  </si>
  <si>
    <t>Export customs</t>
  </si>
  <si>
    <t>Handling</t>
  </si>
  <si>
    <t>Documentation</t>
  </si>
  <si>
    <t>Warehouse</t>
  </si>
  <si>
    <t>Por kg</t>
  </si>
  <si>
    <t>Security</t>
  </si>
  <si>
    <t>Según dirección de retiro</t>
  </si>
  <si>
    <t>Aeropuertos origen</t>
  </si>
  <si>
    <t>Aeropuerto destino</t>
  </si>
  <si>
    <t>Monedas</t>
  </si>
  <si>
    <t>Conceptos</t>
  </si>
  <si>
    <t>SI / NO</t>
  </si>
  <si>
    <t>Hong Kong - HKG</t>
  </si>
  <si>
    <t>EUR</t>
  </si>
  <si>
    <t>CNY</t>
  </si>
  <si>
    <t>Shenzhen - SZX</t>
  </si>
  <si>
    <t>Ningbo - NGB</t>
  </si>
  <si>
    <t>Guangzhou -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</si>
</sst>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##"/>
    <numFmt numFmtId="165" formatCode="dd/mm/yyyy"/>
    <numFmt numFmtId="166" formatCode="#,##0.00##"/>
  </numFmts>
  <fonts count="10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color rgb="FF15212E"/>
      <sz val="10"/>
      <name val="Arial"/>
    </font>
    <font>
      <b/>
      <color rgb="FF0B3C5D"/>
      <sz val="11"/>
      <name val="Arial"/>
    </font>
    <font>
      <b/>
      <color rgb="FF6B4500"/>
      <sz val="10"/>
      <name val="Arial"/>
    </font>
    <font>
      <sz val="10"/>
      <name val="Arial"/>
    </font>
    <font>
      <b/>
      <color rgb="FFFFFFFF"/>
      <sz val="14"/>
      <name val="Arial"/>
    </font>
    <font>
      <color rgb="FF7A5300"/>
      <sz val="10"/>
      <name val="Arial"/>
    </font>
    <font>
      <b/>
      <color rgb="FFFFFFFF"/>
      <sz val="10"/>
      <name val="Arial"/>
    </font>
    <font>
      <b/>
      <color rgb="FF15212E"/>
      <sz val="10"/>
      <name val="Arial"/>
    </font>
  </fonts>
  <fills count="23">
    <fill>
      <patternFill patternType="none"/>
    </fill>
    <fill>
      <patternFill patternType="gray125"/>
    </fill>
    <fill>
      <patternFill patternType="solid">
        <fgColor rgb="FF0B3C5D"/>
      </patternFill>
    </fill>
    <fill>
      <patternFill patternType="solid">
        <fgColor rgb="FFDAE3F3"/>
      </patternFill>
    </fill>
    <fill>
      <patternFill patternType="solid">
        <fgColor rgb="FFFCE4B6"/>
      </patternFill>
    </fill>
    <fill>
      <patternFill patternType="solid">
        <fgColor rgb="FFFFF4CC"/>
      </patternFill>
    </fill>
    <fill>
      <patternFill patternType="solid">
        <fgColor rgb="FFE6F0F8"/>
      </patternFill>
    </fill>
    <fill>
      <patternFill patternType="solid">
        <fgColor rgb="FFEDEDE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DF3D7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4E7D32"/>
      </patternFill>
    </fill>
    <fill>
      <patternFill patternType="solid">
        <fgColor rgb="FF6B6B6B"/>
      </patternFill>
    </fill>
    <fill>
      <patternFill patternType="solid">
        <fgColor rgb="FF404040"/>
      </patternFill>
    </fill>
    <fill>
      <patternFill patternType="solid">
        <fgColor rgb="FFD6E4F0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9C6500"/>
      </patternFill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vertical="center" wrapText="1" indent="1"/>
    </xf>
    <xf numFmtId="0" fontId="2" fillId="3" borderId="0" xfId="0" applyFont="1" applyFill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4" fillId="4" borderId="0" xfId="0" applyFont="1" applyFill="1" applyAlignment="1">
      <alignment horizontal="center" vertical="top"/>
    </xf>
    <xf numFmtId="0" fontId="4" fillId="4" borderId="0" xfId="0" applyFont="1" applyFill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0" fillId="5" borderId="1" xfId="0" applyFill="1" applyBorder="1"/>
    <xf numFmtId="0" fontId="5" fillId="0" borderId="0" xfId="0" applyFont="1" applyAlignment="1">
      <alignment inden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0" xfId="0" applyFont="1" applyFill="1" applyAlignment="1">
      <alignment vertical="center" indent="1"/>
    </xf>
    <xf numFmtId="0" fontId="7" fillId="10" borderId="0" xfId="0" applyFont="1" applyFill="1" applyAlignment="1">
      <alignment vertical="center" wrapText="1" indent="1"/>
    </xf>
    <xf numFmtId="0" fontId="8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9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21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66" fontId="2" fillId="5" borderId="1" xfId="0" applyNumberFormat="1" applyFont="1" applyFill="1" applyBorder="1" applyAlignment="1">
      <alignment horizontal="right" vertical="center"/>
    </xf>
    <xf numFmtId="4" fontId="2" fillId="6" borderId="1" xfId="0" applyNumberFormat="1" applyFont="1" applyFill="1" applyBorder="1" applyAlignment="1">
      <alignment horizontal="right" vertical="center"/>
    </xf>
    <xf numFmtId="0" fontId="8" fillId="22" borderId="0" xfId="0" applyFont="1" applyFill="1"/>
    <xf numFmtId="0" fontId="5" fillId="0" borderId="0" xfId="0" applyFont="1"/>
  </cellXfs>
  <cellStyles count="1">
    <cellStyle name="Normal" xfId="0" builtinId="0"/>
  </cellStyles>
  <dxfs count="10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1F4E79"/>
      </font>
      <fill>
        <patternFill patternType="solid">
          <bgColor rgb="FFDDEBF7"/>
        </patternFill>
      </fill>
    </dxf>
    <dxf>
      <font>
        <b/>
        <color rgb="FF595959"/>
      </font>
      <fill>
        <patternFill patternType="solid">
          <bgColor rgb="FFEDEDED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1F4E79"/>
      </font>
      <fill>
        <patternFill patternType="solid">
          <bgColor rgb="FFDDEBF7"/>
        </patternFill>
      </fill>
    </dxf>
    <dxf>
      <font>
        <b/>
        <color rgb="FF595959"/>
      </font>
      <fill>
        <patternFill patternType="solid">
          <bgColor rgb="FFEDED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3C5D"/>
    <pageSetUpPr fitToPage="1"/>
  </sheetPr>
  <dimension ref="A1:B2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18" customWidth="1"/>
  </cols>
  <sheetData>
    <row r="1" ht="30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18" customHeight="1" spans="1:2" x14ac:dyDescent="0.25">
      <c r="A4" s="3" t="s">
        <v>2</v>
      </c>
      <c r="B4" s="3"/>
    </row>
    <row r="5" ht="34" customHeight="1" spans="1:2" x14ac:dyDescent="0.25">
      <c r="A5" s="4" t="s">
        <v>3</v>
      </c>
      <c r="B5" s="5" t="s">
        <v>4</v>
      </c>
    </row>
    <row r="6" ht="19" customHeight="1" spans="1:2" x14ac:dyDescent="0.25">
      <c r="A6" s="6" t="s">
        <v>5</v>
      </c>
      <c r="B6" s="7" t="s">
        <v>6</v>
      </c>
    </row>
    <row r="7" ht="34" customHeight="1" spans="1:2" x14ac:dyDescent="0.25">
      <c r="A7" s="6" t="s">
        <v>5</v>
      </c>
      <c r="B7" s="7" t="s">
        <v>7</v>
      </c>
    </row>
    <row r="8" ht="19" customHeight="1" spans="1:2" x14ac:dyDescent="0.25">
      <c r="A8" s="6" t="s">
        <v>5</v>
      </c>
      <c r="B8" s="7" t="s">
        <v>8</v>
      </c>
    </row>
    <row r="9" ht="19" customHeight="1" spans="1:2" x14ac:dyDescent="0.25">
      <c r="A9" s="6" t="s">
        <v>5</v>
      </c>
      <c r="B9" s="7" t="s">
        <v>9</v>
      </c>
    </row>
    <row r="11" ht="18" customHeight="1" spans="1:2" x14ac:dyDescent="0.25">
      <c r="A11" s="3" t="s">
        <v>10</v>
      </c>
      <c r="B11" s="3"/>
    </row>
    <row r="12" ht="34" customHeight="1" spans="1:2" x14ac:dyDescent="0.25">
      <c r="A12" s="6" t="s">
        <v>11</v>
      </c>
      <c r="B12" s="7" t="s">
        <v>12</v>
      </c>
    </row>
    <row r="13" ht="34" customHeight="1" spans="1:2" x14ac:dyDescent="0.25">
      <c r="A13" s="6" t="s">
        <v>13</v>
      </c>
      <c r="B13" s="7" t="s">
        <v>14</v>
      </c>
    </row>
    <row r="14" ht="19" customHeight="1" spans="1:2" x14ac:dyDescent="0.25">
      <c r="A14" s="6" t="s">
        <v>15</v>
      </c>
      <c r="B14" s="7" t="s">
        <v>16</v>
      </c>
    </row>
    <row r="15" ht="34" customHeight="1" spans="1:2" x14ac:dyDescent="0.25">
      <c r="A15" s="6" t="s">
        <v>17</v>
      </c>
      <c r="B15" s="7" t="s">
        <v>18</v>
      </c>
    </row>
    <row r="16" ht="34" customHeight="1" spans="1:2" x14ac:dyDescent="0.25">
      <c r="A16" s="6" t="s">
        <v>19</v>
      </c>
      <c r="B16" s="7" t="s">
        <v>20</v>
      </c>
    </row>
    <row r="17" ht="19" customHeight="1" spans="1:2" x14ac:dyDescent="0.25">
      <c r="A17" s="6" t="s">
        <v>21</v>
      </c>
      <c r="B17" s="7" t="s">
        <v>22</v>
      </c>
    </row>
    <row r="19" ht="18" customHeight="1" spans="1:2" x14ac:dyDescent="0.25">
      <c r="A19" s="3" t="s">
        <v>23</v>
      </c>
      <c r="B19" s="3"/>
    </row>
    <row r="20" ht="18" customHeight="1" spans="1:2" x14ac:dyDescent="0.25">
      <c r="A20" s="8"/>
      <c r="B20" s="9" t="s">
        <v>24</v>
      </c>
    </row>
    <row r="21" ht="18" customHeight="1" spans="1:2" x14ac:dyDescent="0.25">
      <c r="A21" s="10"/>
      <c r="B21" s="9" t="s">
        <v>25</v>
      </c>
    </row>
    <row r="22" ht="18" customHeight="1" spans="1:2" x14ac:dyDescent="0.25">
      <c r="A22" s="11"/>
      <c r="B22" s="9" t="s">
        <v>26</v>
      </c>
    </row>
    <row r="23" ht="18" customHeight="1" spans="1:2" x14ac:dyDescent="0.25">
      <c r="A23" s="12"/>
      <c r="B23" s="9" t="s">
        <v>27</v>
      </c>
    </row>
    <row r="24" ht="18" customHeight="1" spans="1:2" x14ac:dyDescent="0.25">
      <c r="A24" s="13"/>
      <c r="B24" s="9" t="s">
        <v>28</v>
      </c>
    </row>
    <row r="26" ht="18" customHeight="1" spans="1:2" x14ac:dyDescent="0.25">
      <c r="A26" s="3" t="s">
        <v>29</v>
      </c>
      <c r="B26" s="3"/>
    </row>
    <row r="27" ht="34" customHeight="1" spans="1:2" x14ac:dyDescent="0.25">
      <c r="A27" s="6" t="s">
        <v>30</v>
      </c>
      <c r="B27" s="7" t="s">
        <v>31</v>
      </c>
    </row>
  </sheetData>
  <mergeCells count="6">
    <mergeCell ref="A1:B1"/>
    <mergeCell ref="A2:B2"/>
    <mergeCell ref="A4:B4"/>
    <mergeCell ref="A11:B11"/>
    <mergeCell ref="A19:B19"/>
    <mergeCell ref="A26:B26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A6A6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4" customWidth="1"/>
    <col min="4" max="4" width="16" customWidth="1"/>
    <col min="5" max="5" width="19" customWidth="1"/>
    <col min="6" max="6" width="14" customWidth="1"/>
  </cols>
  <sheetData>
    <row r="1" spans="1:6" x14ac:dyDescent="0.25">
      <c r="A1" s="40" t="s">
        <v>86</v>
      </c>
      <c r="B1" s="40" t="s">
        <v>87</v>
      </c>
      <c r="C1" s="40" t="s">
        <v>88</v>
      </c>
      <c r="D1" s="40" t="s">
        <v>89</v>
      </c>
      <c r="E1" s="40" t="s">
        <v>74</v>
      </c>
      <c r="F1" s="40" t="s">
        <v>90</v>
      </c>
    </row>
    <row r="2" spans="1:6" x14ac:dyDescent="0.25">
      <c r="A2" s="41" t="s">
        <v>57</v>
      </c>
      <c r="B2" s="41" t="s">
        <v>58</v>
      </c>
      <c r="C2" s="41" t="s">
        <v>60</v>
      </c>
      <c r="D2" s="41" t="s">
        <v>77</v>
      </c>
      <c r="E2" s="41" t="s">
        <v>78</v>
      </c>
      <c r="F2" s="41" t="s">
        <v>61</v>
      </c>
    </row>
    <row r="3" spans="1:6" x14ac:dyDescent="0.25">
      <c r="A3" s="41" t="s">
        <v>91</v>
      </c>
      <c r="C3" s="41" t="s">
        <v>92</v>
      </c>
      <c r="D3" s="41" t="s">
        <v>79</v>
      </c>
      <c r="E3" s="41" t="s">
        <v>83</v>
      </c>
      <c r="F3" s="41" t="s">
        <v>65</v>
      </c>
    </row>
    <row r="4" spans="1:4" x14ac:dyDescent="0.25">
      <c r="A4" s="41" t="s">
        <v>63</v>
      </c>
      <c r="C4" s="41" t="s">
        <v>93</v>
      </c>
      <c r="D4" s="41" t="s">
        <v>80</v>
      </c>
    </row>
    <row r="5" spans="1:4" x14ac:dyDescent="0.25">
      <c r="A5" s="41" t="s">
        <v>94</v>
      </c>
      <c r="D5" s="41" t="s">
        <v>81</v>
      </c>
    </row>
    <row r="6" spans="1:4" x14ac:dyDescent="0.25">
      <c r="A6" s="41" t="s">
        <v>95</v>
      </c>
      <c r="D6" s="41" t="s">
        <v>82</v>
      </c>
    </row>
    <row r="7" spans="1:4" x14ac:dyDescent="0.25">
      <c r="A7" s="41" t="s">
        <v>96</v>
      </c>
      <c r="D7" s="4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  <pageSetUpPr fitToPage="1"/>
  </sheetPr>
  <dimension ref="A1:R1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2" width="18" customWidth="1"/>
    <col min="3" max="3" width="20" customWidth="1"/>
    <col min="5" max="5" width="8" customWidth="1"/>
    <col min="7" max="11" width="8" customWidth="1"/>
    <col min="15" max="15" width="11" customWidth="1"/>
    <col min="16" max="16" width="12" customWidth="1"/>
    <col min="17" max="17" width="28" customWidth="1"/>
    <col min="18" max="18" width="34" customWidth="1"/>
  </cols>
  <sheetData>
    <row r="1" ht="28" customHeight="1" spans="1:18" x14ac:dyDescent="0.25">
      <c r="A1" s="14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ht="32" customHeight="1" spans="1:18" x14ac:dyDescent="0.25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ht="20" customHeight="1" spans="1:18" x14ac:dyDescent="0.25">
      <c r="A3" s="16" t="s">
        <v>34</v>
      </c>
      <c r="B3" s="16"/>
      <c r="C3" s="16"/>
      <c r="D3" s="16"/>
      <c r="E3" s="17" t="s">
        <v>35</v>
      </c>
      <c r="F3" s="17"/>
      <c r="G3" s="17"/>
      <c r="H3" s="17"/>
      <c r="I3" s="17"/>
      <c r="J3" s="17"/>
      <c r="K3" s="17"/>
      <c r="L3" s="18" t="s">
        <v>36</v>
      </c>
      <c r="M3" s="18"/>
      <c r="N3" s="18"/>
      <c r="O3" s="19" t="s">
        <v>37</v>
      </c>
      <c r="P3" s="19"/>
      <c r="Q3" s="19"/>
      <c r="R3" s="20" t="s">
        <v>38</v>
      </c>
    </row>
    <row r="4" ht="36" customHeight="1" spans="1:18" x14ac:dyDescent="0.25">
      <c r="A4" s="21" t="s">
        <v>39</v>
      </c>
      <c r="B4" s="21" t="s">
        <v>40</v>
      </c>
      <c r="C4" s="21" t="s">
        <v>41</v>
      </c>
      <c r="D4" s="21" t="s">
        <v>42</v>
      </c>
      <c r="E4" s="22" t="s">
        <v>43</v>
      </c>
      <c r="F4" s="22" t="s">
        <v>44</v>
      </c>
      <c r="G4" s="22" t="s">
        <v>45</v>
      </c>
      <c r="H4" s="22" t="s">
        <v>46</v>
      </c>
      <c r="I4" s="22" t="s">
        <v>47</v>
      </c>
      <c r="J4" s="22" t="s">
        <v>48</v>
      </c>
      <c r="K4" s="22" t="s">
        <v>49</v>
      </c>
      <c r="L4" s="23" t="s">
        <v>50</v>
      </c>
      <c r="M4" s="23" t="s">
        <v>51</v>
      </c>
      <c r="N4" s="23" t="s">
        <v>52</v>
      </c>
      <c r="O4" s="24" t="s">
        <v>53</v>
      </c>
      <c r="P4" s="24" t="s">
        <v>54</v>
      </c>
      <c r="Q4" s="24" t="s">
        <v>55</v>
      </c>
      <c r="R4" s="25" t="s">
        <v>56</v>
      </c>
    </row>
    <row r="5" spans="1:18" x14ac:dyDescent="0.25">
      <c r="A5" s="26" t="s">
        <v>57</v>
      </c>
      <c r="B5" s="26" t="s">
        <v>58</v>
      </c>
      <c r="C5" s="26" t="s">
        <v>59</v>
      </c>
      <c r="D5" s="27">
        <v>2</v>
      </c>
      <c r="E5" s="28" t="s">
        <v>60</v>
      </c>
      <c r="F5" s="29">
        <v>160</v>
      </c>
      <c r="G5" s="30">
        <v>3.7</v>
      </c>
      <c r="H5" s="31">
        <v>3.4</v>
      </c>
      <c r="I5" s="31">
        <v>3.15</v>
      </c>
      <c r="J5" s="31">
        <v>2.9</v>
      </c>
      <c r="K5" s="31">
        <v>2.65</v>
      </c>
      <c r="L5" s="31">
        <v>0.16</v>
      </c>
      <c r="M5" s="30"/>
      <c r="N5" s="32" t="s">
        <v>61</v>
      </c>
      <c r="O5" s="29">
        <v>340</v>
      </c>
      <c r="P5" s="33">
        <v>46306.5</v>
      </c>
      <c r="Q5" s="34" t="s">
        <v>62</v>
      </c>
      <c r="R5" s="35">
        <f>IF(COUNTA(C5,F5:K5)=0,IF(A5="","","Sin cotizar"),IF((IF(A5="","Falta origen. ","")&amp;IF(C5="","Falta aerolínea. ","")&amp;IF(D5="","Falta tránsito. ","")&amp;IF(E5="","Falta moneda. ","")&amp;IF(F5="","Falta mínimo. ","")&amp;IF(H5="","Falta 100 kg. ","")&amp;IF(I5="","Falta 300 kg. ","")&amp;IF(J5="","Falta 500 kg. ","")&amp;IF(K5="","Falta 1000 kg. ","")&amp;IF(L5="","Falta fuel. ","")&amp;IF(AND(M5="",N5&lt;&gt;"SI"),"Falta IMO (o SI en IMO a pedido). ","")&amp;IF(O5="","Faltan gastos destino. ","")&amp;IF(P5="","Falta vigencia. ",""))="","Completa",IF(A5="","Falta origen. ","")&amp;IF(C5="","Falta aerolínea. ","")&amp;IF(D5="","Falta tránsito. ","")&amp;IF(E5="","Falta moneda. ","")&amp;IF(F5="","Falta mínimo. ","")&amp;IF(H5="","Falta 100 kg. ","")&amp;IF(I5="","Falta 300 kg. ","")&amp;IF(J5="","Falta 500 kg. ","")&amp;IF(K5="","Falta 1000 kg. ","")&amp;IF(L5="","Falta fuel. ","")&amp;IF(AND(M5="",N5&lt;&gt;"SI"),"Falta IMO (o SI en IMO a pedido). ","")&amp;IF(O5="","Faltan gastos destino. ","")&amp;IF(P5="","Falta vigencia. ","")))</f>
      </c>
    </row>
    <row r="6" spans="1:18" x14ac:dyDescent="0.25">
      <c r="A6" s="26" t="s">
        <v>63</v>
      </c>
      <c r="B6" s="26" t="s">
        <v>58</v>
      </c>
      <c r="C6" s="26" t="s">
        <v>64</v>
      </c>
      <c r="D6" s="27">
        <v>6</v>
      </c>
      <c r="E6" s="28" t="s">
        <v>60</v>
      </c>
      <c r="F6" s="29">
        <v>200</v>
      </c>
      <c r="G6" s="30">
        <v>10.6</v>
      </c>
      <c r="H6" s="31">
        <v>9.5</v>
      </c>
      <c r="I6" s="31">
        <v>9.3</v>
      </c>
      <c r="J6" s="31">
        <v>9</v>
      </c>
      <c r="K6" s="31">
        <v>8.85</v>
      </c>
      <c r="L6" s="31">
        <v>0.12</v>
      </c>
      <c r="M6" s="30">
        <v>0.05</v>
      </c>
      <c r="N6" s="32" t="s">
        <v>65</v>
      </c>
      <c r="O6" s="29">
        <v>340</v>
      </c>
      <c r="P6" s="33">
        <v>46306.5</v>
      </c>
      <c r="Q6" s="34" t="s">
        <v>66</v>
      </c>
      <c r="R6" s="35">
        <f>IF(COUNTA(C6,F6:K6)=0,IF(A6="","","Sin cotizar"),IF((IF(A6="","Falta origen. ","")&amp;IF(C6="","Falta aerolínea. ","")&amp;IF(D6="","Falta tránsito. ","")&amp;IF(E6="","Falta moneda. ","")&amp;IF(F6="","Falta mínimo. ","")&amp;IF(H6="","Falta 100 kg. ","")&amp;IF(I6="","Falta 300 kg. ","")&amp;IF(J6="","Falta 500 kg. ","")&amp;IF(K6="","Falta 1000 kg. ","")&amp;IF(L6="","Falta fuel. ","")&amp;IF(AND(M6="",N6&lt;&gt;"SI"),"Falta IMO (o SI en IMO a pedido). ","")&amp;IF(O6="","Faltan gastos destino. ","")&amp;IF(P6="","Falta vigencia. ",""))="","Completa",IF(A6="","Falta origen. ","")&amp;IF(C6="","Falta aerolínea. ","")&amp;IF(D6="","Falta tránsito. ","")&amp;IF(E6="","Falta moneda. ","")&amp;IF(F6="","Falta mínimo. ","")&amp;IF(H6="","Falta 100 kg. ","")&amp;IF(I6="","Falta 300 kg. ","")&amp;IF(J6="","Falta 500 kg. ","")&amp;IF(K6="","Falta 1000 kg. ","")&amp;IF(L6="","Falta fuel. ","")&amp;IF(AND(M6="",N6&lt;&gt;"SI"),"Falta IMO (o SI en IMO a pedido). ","")&amp;IF(O6="","Faltan gastos destino. ","")&amp;IF(P6="","Falta vigencia. ","")))</f>
      </c>
    </row>
    <row r="7" spans="1:18" x14ac:dyDescent="0.25">
      <c r="A7" s="26"/>
      <c r="B7" s="26"/>
      <c r="C7" s="26"/>
      <c r="D7" s="27"/>
      <c r="E7" s="28"/>
      <c r="F7" s="29"/>
      <c r="G7" s="30"/>
      <c r="H7" s="31"/>
      <c r="I7" s="31"/>
      <c r="J7" s="31"/>
      <c r="K7" s="31"/>
      <c r="L7" s="31"/>
      <c r="M7" s="30"/>
      <c r="N7" s="32"/>
      <c r="O7" s="29"/>
      <c r="P7" s="33"/>
      <c r="Q7" s="34"/>
      <c r="R7" s="35">
        <f>IF(COUNTA(C7,F7:K7)=0,IF(A7="","","Sin cotizar"),IF((IF(A7="","Falta origen. ","")&amp;IF(C7="","Falta aerolínea. ","")&amp;IF(D7="","Falta tránsito. ","")&amp;IF(E7="","Falta moneda. ","")&amp;IF(F7="","Falta mínimo. ","")&amp;IF(H7="","Falta 100 kg. ","")&amp;IF(I7="","Falta 300 kg. ","")&amp;IF(J7="","Falta 500 kg. ","")&amp;IF(K7="","Falta 1000 kg. ","")&amp;IF(L7="","Falta fuel. ","")&amp;IF(AND(M7="",N7&lt;&gt;"SI"),"Falta IMO (o SI en IMO a pedido). ","")&amp;IF(O7="","Faltan gastos destino. ","")&amp;IF(P7="","Falta vigencia. ",""))="","Completa",IF(A7="","Falta origen. ","")&amp;IF(C7="","Falta aerolínea. ","")&amp;IF(D7="","Falta tránsito. ","")&amp;IF(E7="","Falta moneda. ","")&amp;IF(F7="","Falta mínimo. ","")&amp;IF(H7="","Falta 100 kg. ","")&amp;IF(I7="","Falta 300 kg. ","")&amp;IF(J7="","Falta 500 kg. ","")&amp;IF(K7="","Falta 1000 kg. ","")&amp;IF(L7="","Falta fuel. ","")&amp;IF(AND(M7="",N7&lt;&gt;"SI"),"Falta IMO (o SI en IMO a pedido). ","")&amp;IF(O7="","Faltan gastos destino. ","")&amp;IF(P7="","Falta vigencia. ","")))</f>
      </c>
    </row>
    <row r="8" spans="1:18" x14ac:dyDescent="0.25">
      <c r="A8" s="26"/>
      <c r="B8" s="26"/>
      <c r="C8" s="26"/>
      <c r="D8" s="27"/>
      <c r="E8" s="28"/>
      <c r="F8" s="29"/>
      <c r="G8" s="30"/>
      <c r="H8" s="31"/>
      <c r="I8" s="31"/>
      <c r="J8" s="31"/>
      <c r="K8" s="31"/>
      <c r="L8" s="31"/>
      <c r="M8" s="30"/>
      <c r="N8" s="32"/>
      <c r="O8" s="29"/>
      <c r="P8" s="33"/>
      <c r="Q8" s="34"/>
      <c r="R8" s="35">
        <f>IF(COUNTA(C8,F8:K8)=0,IF(A8="","","Sin cotizar"),IF((IF(A8="","Falta origen. ","")&amp;IF(C8="","Falta aerolínea. ","")&amp;IF(D8="","Falta tránsito. ","")&amp;IF(E8="","Falta moneda. ","")&amp;IF(F8="","Falta mínimo. ","")&amp;IF(H8="","Falta 100 kg. ","")&amp;IF(I8="","Falta 300 kg. ","")&amp;IF(J8="","Falta 500 kg. ","")&amp;IF(K8="","Falta 1000 kg. ","")&amp;IF(L8="","Falta fuel. ","")&amp;IF(AND(M8="",N8&lt;&gt;"SI"),"Falta IMO (o SI en IMO a pedido). ","")&amp;IF(O8="","Faltan gastos destino. ","")&amp;IF(P8="","Falta vigencia. ",""))="","Completa",IF(A8="","Falta origen. ","")&amp;IF(C8="","Falta aerolínea. ","")&amp;IF(D8="","Falta tránsito. ","")&amp;IF(E8="","Falta moneda. ","")&amp;IF(F8="","Falta mínimo. ","")&amp;IF(H8="","Falta 100 kg. ","")&amp;IF(I8="","Falta 300 kg. ","")&amp;IF(J8="","Falta 500 kg. ","")&amp;IF(K8="","Falta 1000 kg. ","")&amp;IF(L8="","Falta fuel. ","")&amp;IF(AND(M8="",N8&lt;&gt;"SI"),"Falta IMO (o SI en IMO a pedido). ","")&amp;IF(O8="","Faltan gastos destino. ","")&amp;IF(P8="","Falta vigencia. ","")))</f>
      </c>
    </row>
    <row r="9" spans="1:18" x14ac:dyDescent="0.25">
      <c r="A9" s="26"/>
      <c r="B9" s="26"/>
      <c r="C9" s="26"/>
      <c r="D9" s="27"/>
      <c r="E9" s="28"/>
      <c r="F9" s="29"/>
      <c r="G9" s="30"/>
      <c r="H9" s="31"/>
      <c r="I9" s="31"/>
      <c r="J9" s="31"/>
      <c r="K9" s="31"/>
      <c r="L9" s="31"/>
      <c r="M9" s="30"/>
      <c r="N9" s="32"/>
      <c r="O9" s="29"/>
      <c r="P9" s="33"/>
      <c r="Q9" s="34"/>
      <c r="R9" s="35">
        <f>IF(COUNTA(C9,F9:K9)=0,IF(A9="","","Sin cotizar"),IF((IF(A9="","Falta origen. ","")&amp;IF(C9="","Falta aerolínea. ","")&amp;IF(D9="","Falta tránsito. ","")&amp;IF(E9="","Falta moneda. ","")&amp;IF(F9="","Falta mínimo. ","")&amp;IF(H9="","Falta 100 kg. ","")&amp;IF(I9="","Falta 300 kg. ","")&amp;IF(J9="","Falta 500 kg. ","")&amp;IF(K9="","Falta 1000 kg. ","")&amp;IF(L9="","Falta fuel. ","")&amp;IF(AND(M9="",N9&lt;&gt;"SI"),"Falta IMO (o SI en IMO a pedido). ","")&amp;IF(O9="","Faltan gastos destino. ","")&amp;IF(P9="","Falta vigencia. ",""))="","Completa",IF(A9="","Falta origen. ","")&amp;IF(C9="","Falta aerolínea. ","")&amp;IF(D9="","Falta tránsito. ","")&amp;IF(E9="","Falta moneda. ","")&amp;IF(F9="","Falta mínimo. ","")&amp;IF(H9="","Falta 100 kg. ","")&amp;IF(I9="","Falta 300 kg. ","")&amp;IF(J9="","Falta 500 kg. ","")&amp;IF(K9="","Falta 1000 kg. ","")&amp;IF(L9="","Falta fuel. ","")&amp;IF(AND(M9="",N9&lt;&gt;"SI"),"Falta IMO (o SI en IMO a pedido). ","")&amp;IF(O9="","Faltan gastos destino. ","")&amp;IF(P9="","Falta vigencia. ","")))</f>
      </c>
    </row>
    <row r="10" spans="1:18" x14ac:dyDescent="0.25">
      <c r="A10" s="26"/>
      <c r="B10" s="26"/>
      <c r="C10" s="26"/>
      <c r="D10" s="27"/>
      <c r="E10" s="28"/>
      <c r="F10" s="29"/>
      <c r="G10" s="30"/>
      <c r="H10" s="31"/>
      <c r="I10" s="31"/>
      <c r="J10" s="31"/>
      <c r="K10" s="31"/>
      <c r="L10" s="31"/>
      <c r="M10" s="30"/>
      <c r="N10" s="32"/>
      <c r="O10" s="29"/>
      <c r="P10" s="33"/>
      <c r="Q10" s="34"/>
      <c r="R10" s="35">
        <f>IF(COUNTA(C10,F10:K10)=0,IF(A10="","","Sin cotizar"),IF((IF(A10="","Falta origen. ","")&amp;IF(C10="","Falta aerolínea. ","")&amp;IF(D10="","Falta tránsito. ","")&amp;IF(E10="","Falta moneda. ","")&amp;IF(F10="","Falta mínimo. ","")&amp;IF(H10="","Falta 100 kg. ","")&amp;IF(I10="","Falta 300 kg. ","")&amp;IF(J10="","Falta 500 kg. ","")&amp;IF(K10="","Falta 1000 kg. ","")&amp;IF(L10="","Falta fuel. ","")&amp;IF(AND(M10="",N10&lt;&gt;"SI"),"Falta IMO (o SI en IMO a pedido). ","")&amp;IF(O10="","Faltan gastos destino. ","")&amp;IF(P10="","Falta vigencia. ",""))="","Completa",IF(A10="","Falta origen. ","")&amp;IF(C10="","Falta aerolínea. ","")&amp;IF(D10="","Falta tránsito. ","")&amp;IF(E10="","Falta moneda. ","")&amp;IF(F10="","Falta mínimo. ","")&amp;IF(H10="","Falta 100 kg. ","")&amp;IF(I10="","Falta 300 kg. ","")&amp;IF(J10="","Falta 500 kg. ","")&amp;IF(K10="","Falta 1000 kg. ","")&amp;IF(L10="","Falta fuel. ","")&amp;IF(AND(M10="",N10&lt;&gt;"SI"),"Falta IMO (o SI en IMO a pedido). ","")&amp;IF(O10="","Faltan gastos destino. ","")&amp;IF(P10="","Falta vigencia. ","")))</f>
      </c>
    </row>
    <row r="11" spans="1:18" x14ac:dyDescent="0.25">
      <c r="A11" s="26"/>
      <c r="B11" s="26"/>
      <c r="C11" s="26"/>
      <c r="D11" s="27"/>
      <c r="E11" s="28"/>
      <c r="F11" s="29"/>
      <c r="G11" s="30"/>
      <c r="H11" s="31"/>
      <c r="I11" s="31"/>
      <c r="J11" s="31"/>
      <c r="K11" s="31"/>
      <c r="L11" s="31"/>
      <c r="M11" s="30"/>
      <c r="N11" s="32"/>
      <c r="O11" s="29"/>
      <c r="P11" s="33"/>
      <c r="Q11" s="34"/>
      <c r="R11" s="35">
        <f>IF(COUNTA(C11,F11:K11)=0,IF(A11="","","Sin cotizar"),IF((IF(A11="","Falta origen. ","")&amp;IF(C11="","Falta aerolínea. ","")&amp;IF(D11="","Falta tránsito. ","")&amp;IF(E11="","Falta moneda. ","")&amp;IF(F11="","Falta mínimo. ","")&amp;IF(H11="","Falta 100 kg. ","")&amp;IF(I11="","Falta 300 kg. ","")&amp;IF(J11="","Falta 500 kg. ","")&amp;IF(K11="","Falta 1000 kg. ","")&amp;IF(L11="","Falta fuel. ","")&amp;IF(AND(M11="",N11&lt;&gt;"SI"),"Falta IMO (o SI en IMO a pedido). ","")&amp;IF(O11="","Faltan gastos destino. ","")&amp;IF(P11="","Falta vigencia. ",""))="","Completa",IF(A11="","Falta origen. ","")&amp;IF(C11="","Falta aerolínea. ","")&amp;IF(D11="","Falta tránsito. ","")&amp;IF(E11="","Falta moneda. ","")&amp;IF(F11="","Falta mínimo. ","")&amp;IF(H11="","Falta 100 kg. ","")&amp;IF(I11="","Falta 300 kg. ","")&amp;IF(J11="","Falta 500 kg. ","")&amp;IF(K11="","Falta 1000 kg. ","")&amp;IF(L11="","Falta fuel. ","")&amp;IF(AND(M11="",N11&lt;&gt;"SI"),"Falta IMO (o SI en IMO a pedido). ","")&amp;IF(O11="","Faltan gastos destino. ","")&amp;IF(P11="","Falta vigencia. ","")))</f>
      </c>
    </row>
    <row r="12" spans="1:18" x14ac:dyDescent="0.25">
      <c r="A12" s="26"/>
      <c r="B12" s="26"/>
      <c r="C12" s="26"/>
      <c r="D12" s="27"/>
      <c r="E12" s="28"/>
      <c r="F12" s="29"/>
      <c r="G12" s="30"/>
      <c r="H12" s="31"/>
      <c r="I12" s="31"/>
      <c r="J12" s="31"/>
      <c r="K12" s="31"/>
      <c r="L12" s="31"/>
      <c r="M12" s="30"/>
      <c r="N12" s="32"/>
      <c r="O12" s="29"/>
      <c r="P12" s="33"/>
      <c r="Q12" s="34"/>
      <c r="R12" s="35">
        <f>IF(COUNTA(C12,F12:K12)=0,IF(A12="","","Sin cotizar"),IF((IF(A12="","Falta origen. ","")&amp;IF(C12="","Falta aerolínea. ","")&amp;IF(D12="","Falta tránsito. ","")&amp;IF(E12="","Falta moneda. ","")&amp;IF(F12="","Falta mínimo. ","")&amp;IF(H12="","Falta 100 kg. ","")&amp;IF(I12="","Falta 300 kg. ","")&amp;IF(J12="","Falta 500 kg. ","")&amp;IF(K12="","Falta 1000 kg. ","")&amp;IF(L12="","Falta fuel. ","")&amp;IF(AND(M12="",N12&lt;&gt;"SI"),"Falta IMO (o SI en IMO a pedido). ","")&amp;IF(O12="","Faltan gastos destino. ","")&amp;IF(P12="","Falta vigencia. ",""))="","Completa",IF(A12="","Falta origen. ","")&amp;IF(C12="","Falta aerolínea. ","")&amp;IF(D12="","Falta tránsito. ","")&amp;IF(E12="","Falta moneda. ","")&amp;IF(F12="","Falta mínimo. ","")&amp;IF(H12="","Falta 100 kg. ","")&amp;IF(I12="","Falta 300 kg. ","")&amp;IF(J12="","Falta 500 kg. ","")&amp;IF(K12="","Falta 1000 kg. ","")&amp;IF(L12="","Falta fuel. ","")&amp;IF(AND(M12="",N12&lt;&gt;"SI"),"Falta IMO (o SI en IMO a pedido). ","")&amp;IF(O12="","Faltan gastos destino. ","")&amp;IF(P12="","Falta vigencia. ","")))</f>
      </c>
    </row>
    <row r="13" spans="1:18" x14ac:dyDescent="0.25">
      <c r="A13" s="26"/>
      <c r="B13" s="26"/>
      <c r="C13" s="26"/>
      <c r="D13" s="27"/>
      <c r="E13" s="28"/>
      <c r="F13" s="29"/>
      <c r="G13" s="30"/>
      <c r="H13" s="31"/>
      <c r="I13" s="31"/>
      <c r="J13" s="31"/>
      <c r="K13" s="31"/>
      <c r="L13" s="31"/>
      <c r="M13" s="30"/>
      <c r="N13" s="32"/>
      <c r="O13" s="29"/>
      <c r="P13" s="33"/>
      <c r="Q13" s="34"/>
      <c r="R13" s="35">
        <f>IF(COUNTA(C13,F13:K13)=0,IF(A13="","","Sin cotizar"),IF((IF(A13="","Falta origen. ","")&amp;IF(C13="","Falta aerolínea. ","")&amp;IF(D13="","Falta tránsito. ","")&amp;IF(E13="","Falta moneda. ","")&amp;IF(F13="","Falta mínimo. ","")&amp;IF(H13="","Falta 100 kg. ","")&amp;IF(I13="","Falta 300 kg. ","")&amp;IF(J13="","Falta 500 kg. ","")&amp;IF(K13="","Falta 1000 kg. ","")&amp;IF(L13="","Falta fuel. ","")&amp;IF(AND(M13="",N13&lt;&gt;"SI"),"Falta IMO (o SI en IMO a pedido). ","")&amp;IF(O13="","Faltan gastos destino. ","")&amp;IF(P13="","Falta vigencia. ",""))="","Completa",IF(A13="","Falta origen. ","")&amp;IF(C13="","Falta aerolínea. ","")&amp;IF(D13="","Falta tránsito. ","")&amp;IF(E13="","Falta moneda. ","")&amp;IF(F13="","Falta mínimo. ","")&amp;IF(H13="","Falta 100 kg. ","")&amp;IF(I13="","Falta 300 kg. ","")&amp;IF(J13="","Falta 500 kg. ","")&amp;IF(K13="","Falta 1000 kg. ","")&amp;IF(L13="","Falta fuel. ","")&amp;IF(AND(M13="",N13&lt;&gt;"SI"),"Falta IMO (o SI en IMO a pedido). ","")&amp;IF(O13="","Faltan gastos destino. ","")&amp;IF(P13="","Falta vigencia. ","")))</f>
      </c>
    </row>
    <row r="14" spans="1:18" x14ac:dyDescent="0.25">
      <c r="A14" s="26"/>
      <c r="B14" s="26"/>
      <c r="C14" s="26"/>
      <c r="D14" s="27"/>
      <c r="E14" s="28"/>
      <c r="F14" s="29"/>
      <c r="G14" s="30"/>
      <c r="H14" s="31"/>
      <c r="I14" s="31"/>
      <c r="J14" s="31"/>
      <c r="K14" s="31"/>
      <c r="L14" s="31"/>
      <c r="M14" s="30"/>
      <c r="N14" s="32"/>
      <c r="O14" s="29"/>
      <c r="P14" s="33"/>
      <c r="Q14" s="34"/>
      <c r="R14" s="35">
        <f>IF(COUNTA(C14,F14:K14)=0,IF(A14="","","Sin cotizar"),IF((IF(A14="","Falta origen. ","")&amp;IF(C14="","Falta aerolínea. ","")&amp;IF(D14="","Falta tránsito. ","")&amp;IF(E14="","Falta moneda. ","")&amp;IF(F14="","Falta mínimo. ","")&amp;IF(H14="","Falta 100 kg. ","")&amp;IF(I14="","Falta 300 kg. ","")&amp;IF(J14="","Falta 500 kg. ","")&amp;IF(K14="","Falta 1000 kg. ","")&amp;IF(L14="","Falta fuel. ","")&amp;IF(AND(M14="",N14&lt;&gt;"SI"),"Falta IMO (o SI en IMO a pedido). ","")&amp;IF(O14="","Faltan gastos destino. ","")&amp;IF(P14="","Falta vigencia. ",""))="","Completa",IF(A14="","Falta origen. ","")&amp;IF(C14="","Falta aerolínea. ","")&amp;IF(D14="","Falta tránsito. ","")&amp;IF(E14="","Falta moneda. ","")&amp;IF(F14="","Falta mínimo. ","")&amp;IF(H14="","Falta 100 kg. ","")&amp;IF(I14="","Falta 300 kg. ","")&amp;IF(J14="","Falta 500 kg. ","")&amp;IF(K14="","Falta 1000 kg. ","")&amp;IF(L14="","Falta fuel. ","")&amp;IF(AND(M14="",N14&lt;&gt;"SI"),"Falta IMO (o SI en IMO a pedido). ","")&amp;IF(O14="","Faltan gastos destino. ","")&amp;IF(P14="","Falta vigencia. ","")))</f>
      </c>
    </row>
    <row r="15" spans="1:18" x14ac:dyDescent="0.25">
      <c r="A15" s="26"/>
      <c r="B15" s="26"/>
      <c r="C15" s="26"/>
      <c r="D15" s="27"/>
      <c r="E15" s="28"/>
      <c r="F15" s="29"/>
      <c r="G15" s="30"/>
      <c r="H15" s="31"/>
      <c r="I15" s="31"/>
      <c r="J15" s="31"/>
      <c r="K15" s="31"/>
      <c r="L15" s="31"/>
      <c r="M15" s="30"/>
      <c r="N15" s="32"/>
      <c r="O15" s="29"/>
      <c r="P15" s="33"/>
      <c r="Q15" s="34"/>
      <c r="R15" s="35">
        <f>IF(COUNTA(C15,F15:K15)=0,IF(A15="","","Sin cotizar"),IF((IF(A15="","Falta origen. ","")&amp;IF(C15="","Falta aerolínea. ","")&amp;IF(D15="","Falta tránsito. ","")&amp;IF(E15="","Falta moneda. ","")&amp;IF(F15="","Falta mínimo. ","")&amp;IF(H15="","Falta 100 kg. ","")&amp;IF(I15="","Falta 300 kg. ","")&amp;IF(J15="","Falta 500 kg. ","")&amp;IF(K15="","Falta 1000 kg. ","")&amp;IF(L15="","Falta fuel. ","")&amp;IF(AND(M15="",N15&lt;&gt;"SI"),"Falta IMO (o SI en IMO a pedido). ","")&amp;IF(O15="","Faltan gastos destino. ","")&amp;IF(P15="","Falta vigencia. ",""))="","Completa",IF(A15="","Falta origen. ","")&amp;IF(C15="","Falta aerolínea. ","")&amp;IF(D15="","Falta tránsito. ","")&amp;IF(E15="","Falta moneda. ","")&amp;IF(F15="","Falta mínimo. ","")&amp;IF(H15="","Falta 100 kg. ","")&amp;IF(I15="","Falta 300 kg. ","")&amp;IF(J15="","Falta 500 kg. ","")&amp;IF(K15="","Falta 1000 kg. ","")&amp;IF(L15="","Falta fuel. ","")&amp;IF(AND(M15="",N15&lt;&gt;"SI"),"Falta IMO (o SI en IMO a pedido). ","")&amp;IF(O15="","Faltan gastos destino. ","")&amp;IF(P15="","Falta vigencia. ","")))</f>
      </c>
    </row>
    <row r="16" spans="1:18" x14ac:dyDescent="0.25">
      <c r="A16" s="26"/>
      <c r="B16" s="26"/>
      <c r="C16" s="26"/>
      <c r="D16" s="27"/>
      <c r="E16" s="28"/>
      <c r="F16" s="29"/>
      <c r="G16" s="30"/>
      <c r="H16" s="31"/>
      <c r="I16" s="31"/>
      <c r="J16" s="31"/>
      <c r="K16" s="31"/>
      <c r="L16" s="31"/>
      <c r="M16" s="30"/>
      <c r="N16" s="32"/>
      <c r="O16" s="29"/>
      <c r="P16" s="33"/>
      <c r="Q16" s="34"/>
      <c r="R16" s="35">
        <f>IF(COUNTA(C16,F16:K16)=0,IF(A16="","","Sin cotizar"),IF((IF(A16="","Falta origen. ","")&amp;IF(C16="","Falta aerolínea. ","")&amp;IF(D16="","Falta tránsito. ","")&amp;IF(E16="","Falta moneda. ","")&amp;IF(F16="","Falta mínimo. ","")&amp;IF(H16="","Falta 100 kg. ","")&amp;IF(I16="","Falta 300 kg. ","")&amp;IF(J16="","Falta 500 kg. ","")&amp;IF(K16="","Falta 1000 kg. ","")&amp;IF(L16="","Falta fuel. ","")&amp;IF(AND(M16="",N16&lt;&gt;"SI"),"Falta IMO (o SI en IMO a pedido). ","")&amp;IF(O16="","Faltan gastos destino. ","")&amp;IF(P16="","Falta vigencia. ",""))="","Completa",IF(A16="","Falta origen. ","")&amp;IF(C16="","Falta aerolínea. ","")&amp;IF(D16="","Falta tránsito. ","")&amp;IF(E16="","Falta moneda. ","")&amp;IF(F16="","Falta mínimo. ","")&amp;IF(H16="","Falta 100 kg. ","")&amp;IF(I16="","Falta 300 kg. ","")&amp;IF(J16="","Falta 500 kg. ","")&amp;IF(K16="","Falta 1000 kg. ","")&amp;IF(L16="","Falta fuel. ","")&amp;IF(AND(M16="",N16&lt;&gt;"SI"),"Falta IMO (o SI en IMO a pedido). ","")&amp;IF(O16="","Faltan gastos destino. ","")&amp;IF(P16="","Falta vigencia. ","")))</f>
      </c>
    </row>
  </sheetData>
  <mergeCells count="6">
    <mergeCell ref="A1:R1"/>
    <mergeCell ref="A2:R2"/>
    <mergeCell ref="A3:D3"/>
    <mergeCell ref="E3:K3"/>
    <mergeCell ref="L3:N3"/>
    <mergeCell ref="O3:Q3"/>
  </mergeCells>
  <conditionalFormatting sqref="R5:R16">
    <cfRule type="expression" dxfId="0" priority="1">
      <formula>ISNUMBER(SEARCH("Falta",R5))</formula>
    </cfRule>
    <cfRule type="expression" dxfId="1" priority="2">
      <formula>ISNUMBER(SEARCH("Revisar",R5))</formula>
    </cfRule>
    <cfRule type="expression" dxfId="2" priority="3">
      <formula>ISNUMBER(SEARCH("Completa",R5))</formula>
    </cfRule>
    <cfRule type="expression" dxfId="3" priority="4">
      <formula>ISNUMBER(SEARCH("A pedido",R5))</formula>
    </cfRule>
    <cfRule type="expression" dxfId="4" priority="5">
      <formula>ISNUMBER(SEARCH("Sin cotizar",R5))</formula>
    </cfRule>
  </conditionalFormatting>
  <dataValidations count="15">
    <dataValidation type="list" allowBlank="1" showErrorMessage="1" errorStyle="stop" errorTitle="Valor fuera de la lista" error="Elegí un valor de la lista desplegable." sqref="A5:A16">
      <formula1>Listas!$A$2:$A$7</formula1>
    </dataValidation>
    <dataValidation type="list" allowBlank="1" showErrorMessage="1" errorStyle="stop" errorTitle="Valor fuera de la lista" error="Elegí un valor de la lista desplegable." sqref="B5:B16">
      <formula1>Listas!$B$2:$B$2</formula1>
    </dataValidation>
    <dataValidation type="decimal" operator="greaterThanOrEqual" allowBlank="1" showErrorMessage="1" errorTitle="Número inválido" error="Escribí solo el número, sin USD ni otros textos." sqref="D5:D16">
      <formula1>0</formula1>
    </dataValidation>
    <dataValidation type="list" allowBlank="1" showErrorMessage="1" errorStyle="stop" errorTitle="Valor fuera de la lista" error="Elegí un valor de la lista desplegable." sqref="E5:E16">
      <formula1>Listas!$C$2:$C$4</formula1>
    </dataValidation>
    <dataValidation type="decimal" operator="greaterThanOrEqual" allowBlank="1" showErrorMessage="1" errorTitle="Número inválido" error="Escribí solo el número, sin USD ni otros textos." sqref="F5:F16">
      <formula1>0</formula1>
    </dataValidation>
    <dataValidation type="decimal" operator="greaterThanOrEqual" allowBlank="1" showErrorMessage="1" errorTitle="Número inválido" error="Escribí solo el número, sin USD ni otros textos." sqref="G5:G16">
      <formula1>0</formula1>
    </dataValidation>
    <dataValidation type="decimal" operator="greaterThanOrEqual" allowBlank="1" showErrorMessage="1" errorTitle="Número inválido" error="Escribí solo el número, sin USD ni otros textos." sqref="H5:H16">
      <formula1>0</formula1>
    </dataValidation>
    <dataValidation type="decimal" operator="greaterThanOrEqual" allowBlank="1" showErrorMessage="1" errorTitle="Número inválido" error="Escribí solo el número, sin USD ni otros textos." sqref="I5:I16">
      <formula1>0</formula1>
    </dataValidation>
    <dataValidation type="decimal" operator="greaterThanOrEqual" allowBlank="1" showErrorMessage="1" errorTitle="Número inválido" error="Escribí solo el número, sin USD ni otros textos." sqref="J5:J16">
      <formula1>0</formula1>
    </dataValidation>
    <dataValidation type="decimal" operator="greaterThanOrEqual" allowBlank="1" showErrorMessage="1" errorTitle="Número inválido" error="Escribí solo el número, sin USD ni otros textos." sqref="K5:K16">
      <formula1>0</formula1>
    </dataValidation>
    <dataValidation type="decimal" operator="greaterThanOrEqual" allowBlank="1" showErrorMessage="1" errorTitle="Número inválido" error="Escribí solo el número, sin USD ni otros textos." sqref="L5:L16">
      <formula1>0</formula1>
    </dataValidation>
    <dataValidation type="decimal" operator="greaterThanOrEqual" allowBlank="1" showErrorMessage="1" errorTitle="Número inválido" error="Escribí solo el número, sin USD ni otros textos." sqref="M5:M16">
      <formula1>0</formula1>
    </dataValidation>
    <dataValidation type="list" allowBlank="1" showErrorMessage="1" errorStyle="stop" errorTitle="Valor fuera de la lista" error="Elegí un valor de la lista desplegable." sqref="N5:N16">
      <formula1>Listas!$F$2:$F$3</formula1>
    </dataValidation>
    <dataValidation type="decimal" operator="greaterThanOrEqual" allowBlank="1" showErrorMessage="1" errorTitle="Número inválido" error="Escribí solo el número, sin USD ni otros textos." sqref="O5:O16">
      <formula1>0</formula1>
    </dataValidation>
    <dataValidation type="date" operator="greaterThan" allowBlank="1" showErrorMessage="1" errorTitle="Fecha inválida" error="Escribí la fecha como dd/mm/aaaa." sqref="P5:P16">
      <formula1>43831.125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  <pageSetUpPr fitToPage="1"/>
  </sheetPr>
  <dimension ref="A1:I28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2" width="18" customWidth="1"/>
    <col min="3" max="3" width="8" customWidth="1"/>
    <col min="4" max="4" width="10" customWidth="1"/>
    <col min="5" max="5" width="17" customWidth="1"/>
    <col min="8" max="8" width="26" customWidth="1"/>
    <col min="9" max="9" width="30" customWidth="1"/>
  </cols>
  <sheetData>
    <row r="1" ht="28" customHeight="1" spans="1:9" x14ac:dyDescent="0.25">
      <c r="A1" s="14" t="s">
        <v>67</v>
      </c>
      <c r="B1" s="14"/>
      <c r="C1" s="14"/>
      <c r="D1" s="14"/>
      <c r="E1" s="14"/>
      <c r="F1" s="14"/>
      <c r="G1" s="14"/>
      <c r="H1" s="14"/>
      <c r="I1" s="14"/>
    </row>
    <row r="2" ht="32" customHeight="1" spans="1:9" x14ac:dyDescent="0.25">
      <c r="A2" s="15" t="s">
        <v>68</v>
      </c>
      <c r="B2" s="15"/>
      <c r="C2" s="15"/>
      <c r="D2" s="15"/>
      <c r="E2" s="15"/>
      <c r="F2" s="15"/>
      <c r="G2" s="15"/>
      <c r="H2" s="15"/>
      <c r="I2" s="15"/>
    </row>
    <row r="3" ht="20" customHeight="1" spans="1:9" x14ac:dyDescent="0.25">
      <c r="A3" s="36" t="s">
        <v>69</v>
      </c>
      <c r="B3" s="36"/>
      <c r="C3" s="36"/>
      <c r="D3" s="36"/>
      <c r="E3" s="36"/>
      <c r="F3" s="36"/>
      <c r="G3" s="36"/>
      <c r="H3" s="19" t="s">
        <v>70</v>
      </c>
      <c r="I3" s="20" t="s">
        <v>38</v>
      </c>
    </row>
    <row r="4" ht="36" customHeight="1" spans="1:9" x14ac:dyDescent="0.25">
      <c r="A4" s="37" t="s">
        <v>71</v>
      </c>
      <c r="B4" s="37" t="s">
        <v>72</v>
      </c>
      <c r="C4" s="37" t="s">
        <v>43</v>
      </c>
      <c r="D4" s="37" t="s">
        <v>73</v>
      </c>
      <c r="E4" s="37" t="s">
        <v>74</v>
      </c>
      <c r="F4" s="37" t="s">
        <v>44</v>
      </c>
      <c r="G4" s="37" t="s">
        <v>75</v>
      </c>
      <c r="H4" s="24" t="s">
        <v>76</v>
      </c>
      <c r="I4" s="25" t="s">
        <v>56</v>
      </c>
    </row>
    <row r="5" spans="1:9" x14ac:dyDescent="0.25">
      <c r="A5" s="26" t="s">
        <v>57</v>
      </c>
      <c r="B5" s="26" t="s">
        <v>77</v>
      </c>
      <c r="C5" s="28" t="s">
        <v>60</v>
      </c>
      <c r="D5" s="38">
        <v>70</v>
      </c>
      <c r="E5" s="26" t="s">
        <v>78</v>
      </c>
      <c r="F5" s="39"/>
      <c r="G5" s="32" t="s">
        <v>65</v>
      </c>
      <c r="H5" s="34"/>
      <c r="I5" s="35">
        <f>IF(G5="SI","A pedido",IF(D5="","",IF((IF(A5="","Falta aeropuerto. ","")&amp;IF(C5="","Falta moneda. ","")&amp;IF(E5="","Falta unidad. ","")&amp;IF(AND(E5="Por kg",F5=""),"Falta mínimo. ","")&amp;IF(AND(B5&lt;&gt;"",COUNTIF(Listas!$D$2:$D$7,B5)=0,H5=""),"Revisar: concepto adicional sin descripción. ",""))="","Completa",IF(A5="","Falta aeropuerto. ","")&amp;IF(C5="","Falta moneda. ","")&amp;IF(E5="","Falta unidad. ","")&amp;IF(AND(E5="Por kg",F5=""),"Falta mínimo. ","")&amp;IF(AND(B5&lt;&gt;"",COUNTIF(Listas!$D$2:$D$7,B5)=0,H5=""),"Revisar: concepto adicional sin descripción. ",""))))</f>
      </c>
    </row>
    <row r="6" spans="1:9" x14ac:dyDescent="0.25">
      <c r="A6" s="26" t="s">
        <v>57</v>
      </c>
      <c r="B6" s="26" t="s">
        <v>79</v>
      </c>
      <c r="C6" s="28" t="s">
        <v>60</v>
      </c>
      <c r="D6" s="38">
        <v>45</v>
      </c>
      <c r="E6" s="26" t="s">
        <v>78</v>
      </c>
      <c r="F6" s="39"/>
      <c r="G6" s="32" t="s">
        <v>65</v>
      </c>
      <c r="H6" s="34"/>
      <c r="I6" s="35">
        <f>IF(G6="SI","A pedido",IF(D6="","",IF((IF(A6="","Falta aeropuerto. ","")&amp;IF(C6="","Falta moneda. ","")&amp;IF(E6="","Falta unidad. ","")&amp;IF(AND(E6="Por kg",F6=""),"Falta mínimo. ","")&amp;IF(AND(B6&lt;&gt;"",COUNTIF(Listas!$D$2:$D$7,B6)=0,H6=""),"Revisar: concepto adicional sin descripción. ",""))="","Completa",IF(A6="","Falta aeropuerto. ","")&amp;IF(C6="","Falta moneda. ","")&amp;IF(E6="","Falta unidad. ","")&amp;IF(AND(E6="Por kg",F6=""),"Falta mínimo. ","")&amp;IF(AND(B6&lt;&gt;"",COUNTIF(Listas!$D$2:$D$7,B6)=0,H6=""),"Revisar: concepto adicional sin descripción. ",""))))</f>
      </c>
    </row>
    <row r="7" spans="1:9" x14ac:dyDescent="0.25">
      <c r="A7" s="26" t="s">
        <v>57</v>
      </c>
      <c r="B7" s="26" t="s">
        <v>80</v>
      </c>
      <c r="C7" s="28" t="s">
        <v>60</v>
      </c>
      <c r="D7" s="38">
        <v>55</v>
      </c>
      <c r="E7" s="26" t="s">
        <v>78</v>
      </c>
      <c r="F7" s="39"/>
      <c r="G7" s="32" t="s">
        <v>65</v>
      </c>
      <c r="H7" s="34"/>
      <c r="I7" s="35">
        <f>IF(G7="SI","A pedido",IF(D7="","",IF((IF(A7="","Falta aeropuerto. ","")&amp;IF(C7="","Falta moneda. ","")&amp;IF(E7="","Falta unidad. ","")&amp;IF(AND(E7="Por kg",F7=""),"Falta mínimo. ","")&amp;IF(AND(B7&lt;&gt;"",COUNTIF(Listas!$D$2:$D$7,B7)=0,H7=""),"Revisar: concepto adicional sin descripción. ",""))="","Completa",IF(A7="","Falta aeropuerto. ","")&amp;IF(C7="","Falta moneda. ","")&amp;IF(E7="","Falta unidad. ","")&amp;IF(AND(E7="Por kg",F7=""),"Falta mínimo. ","")&amp;IF(AND(B7&lt;&gt;"",COUNTIF(Listas!$D$2:$D$7,B7)=0,H7=""),"Revisar: concepto adicional sin descripción. ",""))))</f>
      </c>
    </row>
    <row r="8" spans="1:9" x14ac:dyDescent="0.25">
      <c r="A8" s="26" t="s">
        <v>57</v>
      </c>
      <c r="B8" s="26" t="s">
        <v>81</v>
      </c>
      <c r="C8" s="28" t="s">
        <v>60</v>
      </c>
      <c r="D8" s="38">
        <v>55</v>
      </c>
      <c r="E8" s="26" t="s">
        <v>78</v>
      </c>
      <c r="F8" s="39"/>
      <c r="G8" s="32" t="s">
        <v>65</v>
      </c>
      <c r="H8" s="34"/>
      <c r="I8" s="35">
        <f>IF(G8="SI","A pedido",IF(D8="","",IF((IF(A8="","Falta aeropuerto. ","")&amp;IF(C8="","Falta moneda. ","")&amp;IF(E8="","Falta unidad. ","")&amp;IF(AND(E8="Por kg",F8=""),"Falta mínimo. ","")&amp;IF(AND(B8&lt;&gt;"",COUNTIF(Listas!$D$2:$D$7,B8)=0,H8=""),"Revisar: concepto adicional sin descripción. ",""))="","Completa",IF(A8="","Falta aeropuerto. ","")&amp;IF(C8="","Falta moneda. ","")&amp;IF(E8="","Falta unidad. ","")&amp;IF(AND(E8="Por kg",F8=""),"Falta mínimo. ","")&amp;IF(AND(B8&lt;&gt;"",COUNTIF(Listas!$D$2:$D$7,B8)=0,H8=""),"Revisar: concepto adicional sin descripción. ",""))))</f>
      </c>
    </row>
    <row r="9" spans="1:9" x14ac:dyDescent="0.25">
      <c r="A9" s="26" t="s">
        <v>57</v>
      </c>
      <c r="B9" s="26" t="s">
        <v>82</v>
      </c>
      <c r="C9" s="28" t="s">
        <v>60</v>
      </c>
      <c r="D9" s="38">
        <v>0.15</v>
      </c>
      <c r="E9" s="26" t="s">
        <v>83</v>
      </c>
      <c r="F9" s="39">
        <v>55</v>
      </c>
      <c r="G9" s="32" t="s">
        <v>65</v>
      </c>
      <c r="H9" s="34"/>
      <c r="I9" s="35">
        <f>IF(G9="SI","A pedido",IF(D9="","",IF((IF(A9="","Falta aeropuerto. ","")&amp;IF(C9="","Falta moneda. ","")&amp;IF(E9="","Falta unidad. ","")&amp;IF(AND(E9="Por kg",F9=""),"Falta mínimo. ","")&amp;IF(AND(B9&lt;&gt;"",COUNTIF(Listas!$D$2:$D$7,B9)=0,H9=""),"Revisar: concepto adicional sin descripción. ",""))="","Completa",IF(A9="","Falta aeropuerto. ","")&amp;IF(C9="","Falta moneda. ","")&amp;IF(E9="","Falta unidad. ","")&amp;IF(AND(E9="Por kg",F9=""),"Falta mínimo. ","")&amp;IF(AND(B9&lt;&gt;"",COUNTIF(Listas!$D$2:$D$7,B9)=0,H9=""),"Revisar: concepto adicional sin descripción. ",""))))</f>
      </c>
    </row>
    <row r="10" spans="1:9" x14ac:dyDescent="0.25">
      <c r="A10" s="26" t="s">
        <v>57</v>
      </c>
      <c r="B10" s="26" t="s">
        <v>84</v>
      </c>
      <c r="C10" s="28" t="s">
        <v>60</v>
      </c>
      <c r="D10" s="38">
        <v>0.15</v>
      </c>
      <c r="E10" s="26" t="s">
        <v>83</v>
      </c>
      <c r="F10" s="39">
        <v>35</v>
      </c>
      <c r="G10" s="32" t="s">
        <v>65</v>
      </c>
      <c r="H10" s="34"/>
      <c r="I10" s="35">
        <f>IF(G10="SI","A pedido",IF(D10="","",IF((IF(A10="","Falta aeropuerto. ","")&amp;IF(C10="","Falta moneda. ","")&amp;IF(E10="","Falta unidad. ","")&amp;IF(AND(E10="Por kg",F10=""),"Falta mínimo. ","")&amp;IF(AND(B10&lt;&gt;"",COUNTIF(Listas!$D$2:$D$7,B10)=0,H10=""),"Revisar: concepto adicional sin descripción. ",""))="","Completa",IF(A10="","Falta aeropuerto. ","")&amp;IF(C10="","Falta moneda. ","")&amp;IF(E10="","Falta unidad. ","")&amp;IF(AND(E10="Por kg",F10=""),"Falta mínimo. ","")&amp;IF(AND(B10&lt;&gt;"",COUNTIF(Listas!$D$2:$D$7,B10)=0,H10=""),"Revisar: concepto adicional sin descripción. ",""))))</f>
      </c>
    </row>
    <row r="11" spans="1:9" x14ac:dyDescent="0.25">
      <c r="A11" s="26" t="s">
        <v>63</v>
      </c>
      <c r="B11" s="26" t="s">
        <v>77</v>
      </c>
      <c r="C11" s="28"/>
      <c r="D11" s="38"/>
      <c r="E11" s="26"/>
      <c r="F11" s="39"/>
      <c r="G11" s="32" t="s">
        <v>61</v>
      </c>
      <c r="H11" s="34" t="s">
        <v>85</v>
      </c>
      <c r="I11" s="35">
        <f>IF(G11="SI","A pedido",IF(D11="","",IF((IF(A11="","Falta aeropuerto. ","")&amp;IF(C11="","Falta moneda. ","")&amp;IF(E11="","Falta unidad. ","")&amp;IF(AND(E11="Por kg",F11=""),"Falta mínimo. ","")&amp;IF(AND(B11&lt;&gt;"",COUNTIF(Listas!$D$2:$D$7,B11)=0,H11=""),"Revisar: concepto adicional sin descripción. ",""))="","Completa",IF(A11="","Falta aeropuerto. ","")&amp;IF(C11="","Falta moneda. ","")&amp;IF(E11="","Falta unidad. ","")&amp;IF(AND(E11="Por kg",F11=""),"Falta mínimo. ","")&amp;IF(AND(B11&lt;&gt;"",COUNTIF(Listas!$D$2:$D$7,B11)=0,H11=""),"Revisar: concepto adicional sin descripción. ",""))))</f>
      </c>
    </row>
    <row r="12" spans="1:9" x14ac:dyDescent="0.25">
      <c r="A12" s="26" t="s">
        <v>63</v>
      </c>
      <c r="B12" s="26" t="s">
        <v>79</v>
      </c>
      <c r="C12" s="28" t="s">
        <v>60</v>
      </c>
      <c r="D12" s="38">
        <v>55</v>
      </c>
      <c r="E12" s="26" t="s">
        <v>78</v>
      </c>
      <c r="F12" s="39"/>
      <c r="G12" s="32" t="s">
        <v>65</v>
      </c>
      <c r="H12" s="34"/>
      <c r="I12" s="35">
        <f>IF(G12="SI","A pedido",IF(D12="","",IF((IF(A12="","Falta aeropuerto. ","")&amp;IF(C12="","Falta moneda. ","")&amp;IF(E12="","Falta unidad. ","")&amp;IF(AND(E12="Por kg",F12=""),"Falta mínimo. ","")&amp;IF(AND(B12&lt;&gt;"",COUNTIF(Listas!$D$2:$D$7,B12)=0,H12=""),"Revisar: concepto adicional sin descripción. ",""))="","Completa",IF(A12="","Falta aeropuerto. ","")&amp;IF(C12="","Falta moneda. ","")&amp;IF(E12="","Falta unidad. ","")&amp;IF(AND(E12="Por kg",F12=""),"Falta mínimo. ","")&amp;IF(AND(B12&lt;&gt;"",COUNTIF(Listas!$D$2:$D$7,B12)=0,H12=""),"Revisar: concepto adicional sin descripción. ",""))))</f>
      </c>
    </row>
    <row r="13" spans="1:9" x14ac:dyDescent="0.25">
      <c r="A13" s="26" t="s">
        <v>63</v>
      </c>
      <c r="B13" s="26" t="s">
        <v>80</v>
      </c>
      <c r="C13" s="28" t="s">
        <v>60</v>
      </c>
      <c r="D13" s="38">
        <v>55</v>
      </c>
      <c r="E13" s="26" t="s">
        <v>78</v>
      </c>
      <c r="F13" s="39"/>
      <c r="G13" s="32" t="s">
        <v>65</v>
      </c>
      <c r="H13" s="34"/>
      <c r="I13" s="35">
        <f>IF(G13="SI","A pedido",IF(D13="","",IF((IF(A13="","Falta aeropuerto. ","")&amp;IF(C13="","Falta moneda. ","")&amp;IF(E13="","Falta unidad. ","")&amp;IF(AND(E13="Por kg",F13=""),"Falta mínimo. ","")&amp;IF(AND(B13&lt;&gt;"",COUNTIF(Listas!$D$2:$D$7,B13)=0,H13=""),"Revisar: concepto adicional sin descripción. ",""))="","Completa",IF(A13="","Falta aeropuerto. ","")&amp;IF(C13="","Falta moneda. ","")&amp;IF(E13="","Falta unidad. ","")&amp;IF(AND(E13="Por kg",F13=""),"Falta mínimo. ","")&amp;IF(AND(B13&lt;&gt;"",COUNTIF(Listas!$D$2:$D$7,B13)=0,H13=""),"Revisar: concepto adicional sin descripción. ",""))))</f>
      </c>
    </row>
    <row r="14" spans="1:9" x14ac:dyDescent="0.25">
      <c r="A14" s="26" t="s">
        <v>63</v>
      </c>
      <c r="B14" s="26" t="s">
        <v>81</v>
      </c>
      <c r="C14" s="28" t="s">
        <v>60</v>
      </c>
      <c r="D14" s="38">
        <v>65</v>
      </c>
      <c r="E14" s="26" t="s">
        <v>78</v>
      </c>
      <c r="F14" s="39"/>
      <c r="G14" s="32" t="s">
        <v>65</v>
      </c>
      <c r="H14" s="34"/>
      <c r="I14" s="35">
        <f>IF(G14="SI","A pedido",IF(D14="","",IF((IF(A14="","Falta aeropuerto. ","")&amp;IF(C14="","Falta moneda. ","")&amp;IF(E14="","Falta unidad. ","")&amp;IF(AND(E14="Por kg",F14=""),"Falta mínimo. ","")&amp;IF(AND(B14&lt;&gt;"",COUNTIF(Listas!$D$2:$D$7,B14)=0,H14=""),"Revisar: concepto adicional sin descripción. ",""))="","Completa",IF(A14="","Falta aeropuerto. ","")&amp;IF(C14="","Falta moneda. ","")&amp;IF(E14="","Falta unidad. ","")&amp;IF(AND(E14="Por kg",F14=""),"Falta mínimo. ","")&amp;IF(AND(B14&lt;&gt;"",COUNTIF(Listas!$D$2:$D$7,B14)=0,H14=""),"Revisar: concepto adicional sin descripción. ",""))))</f>
      </c>
    </row>
    <row r="15" spans="1:9" x14ac:dyDescent="0.25">
      <c r="A15" s="26" t="s">
        <v>63</v>
      </c>
      <c r="B15" s="26" t="s">
        <v>82</v>
      </c>
      <c r="C15" s="28" t="s">
        <v>60</v>
      </c>
      <c r="D15" s="38">
        <v>55</v>
      </c>
      <c r="E15" s="26" t="s">
        <v>78</v>
      </c>
      <c r="F15" s="39"/>
      <c r="G15" s="32" t="s">
        <v>65</v>
      </c>
      <c r="H15" s="34"/>
      <c r="I15" s="35">
        <f>IF(G15="SI","A pedido",IF(D15="","",IF((IF(A15="","Falta aeropuerto. ","")&amp;IF(C15="","Falta moneda. ","")&amp;IF(E15="","Falta unidad. ","")&amp;IF(AND(E15="Por kg",F15=""),"Falta mínimo. ","")&amp;IF(AND(B15&lt;&gt;"",COUNTIF(Listas!$D$2:$D$7,B15)=0,H15=""),"Revisar: concepto adicional sin descripción. ",""))="","Completa",IF(A15="","Falta aeropuerto. ","")&amp;IF(C15="","Falta moneda. ","")&amp;IF(E15="","Falta unidad. ","")&amp;IF(AND(E15="Por kg",F15=""),"Falta mínimo. ","")&amp;IF(AND(B15&lt;&gt;"",COUNTIF(Listas!$D$2:$D$7,B15)=0,H15=""),"Revisar: concepto adicional sin descripción. ",""))))</f>
      </c>
    </row>
    <row r="16" spans="1:9" x14ac:dyDescent="0.25">
      <c r="A16" s="26" t="s">
        <v>63</v>
      </c>
      <c r="B16" s="26" t="s">
        <v>84</v>
      </c>
      <c r="C16" s="28" t="s">
        <v>60</v>
      </c>
      <c r="D16" s="38">
        <v>35</v>
      </c>
      <c r="E16" s="26" t="s">
        <v>78</v>
      </c>
      <c r="F16" s="39"/>
      <c r="G16" s="32" t="s">
        <v>65</v>
      </c>
      <c r="H16" s="34"/>
      <c r="I16" s="35">
        <f>IF(G16="SI","A pedido",IF(D16="","",IF((IF(A16="","Falta aeropuerto. ","")&amp;IF(C16="","Falta moneda. ","")&amp;IF(E16="","Falta unidad. ","")&amp;IF(AND(E16="Por kg",F16=""),"Falta mínimo. ","")&amp;IF(AND(B16&lt;&gt;"",COUNTIF(Listas!$D$2:$D$7,B16)=0,H16=""),"Revisar: concepto adicional sin descripción. ",""))="","Completa",IF(A16="","Falta aeropuerto. ","")&amp;IF(C16="","Falta moneda. ","")&amp;IF(E16="","Falta unidad. ","")&amp;IF(AND(E16="Por kg",F16=""),"Falta mínimo. ","")&amp;IF(AND(B16&lt;&gt;"",COUNTIF(Listas!$D$2:$D$7,B16)=0,H16=""),"Revisar: concepto adicional sin descripción. ",""))))</f>
      </c>
    </row>
    <row r="17" spans="1:9" x14ac:dyDescent="0.25">
      <c r="A17" s="26"/>
      <c r="B17" s="26"/>
      <c r="C17" s="28"/>
      <c r="D17" s="38"/>
      <c r="E17" s="26"/>
      <c r="F17" s="39"/>
      <c r="G17" s="32"/>
      <c r="H17" s="34"/>
      <c r="I17" s="35">
        <f>IF(G17="SI","A pedido",IF(D17="","",IF((IF(A17="","Falta aeropuerto. ","")&amp;IF(C17="","Falta moneda. ","")&amp;IF(E17="","Falta unidad. ","")&amp;IF(AND(E17="Por kg",F17=""),"Falta mínimo. ","")&amp;IF(AND(B17&lt;&gt;"",COUNTIF(Listas!$D$2:$D$7,B17)=0,H17=""),"Revisar: concepto adicional sin descripción. ",""))="","Completa",IF(A17="","Falta aeropuerto. ","")&amp;IF(C17="","Falta moneda. ","")&amp;IF(E17="","Falta unidad. ","")&amp;IF(AND(E17="Por kg",F17=""),"Falta mínimo. ","")&amp;IF(AND(B17&lt;&gt;"",COUNTIF(Listas!$D$2:$D$7,B17)=0,H17=""),"Revisar: concepto adicional sin descripción. ",""))))</f>
      </c>
    </row>
    <row r="18" spans="1:9" x14ac:dyDescent="0.25">
      <c r="A18" s="26"/>
      <c r="B18" s="26"/>
      <c r="C18" s="28"/>
      <c r="D18" s="38"/>
      <c r="E18" s="26"/>
      <c r="F18" s="39"/>
      <c r="G18" s="32"/>
      <c r="H18" s="34"/>
      <c r="I18" s="35">
        <f>IF(G18="SI","A pedido",IF(D18="","",IF((IF(A18="","Falta aeropuerto. ","")&amp;IF(C18="","Falta moneda. ","")&amp;IF(E18="","Falta unidad. ","")&amp;IF(AND(E18="Por kg",F18=""),"Falta mínimo. ","")&amp;IF(AND(B18&lt;&gt;"",COUNTIF(Listas!$D$2:$D$7,B18)=0,H18=""),"Revisar: concepto adicional sin descripción. ",""))="","Completa",IF(A18="","Falta aeropuerto. ","")&amp;IF(C18="","Falta moneda. ","")&amp;IF(E18="","Falta unidad. ","")&amp;IF(AND(E18="Por kg",F18=""),"Falta mínimo. ","")&amp;IF(AND(B18&lt;&gt;"",COUNTIF(Listas!$D$2:$D$7,B18)=0,H18=""),"Revisar: concepto adicional sin descripción. ",""))))</f>
      </c>
    </row>
    <row r="19" spans="1:9" x14ac:dyDescent="0.25">
      <c r="A19" s="26"/>
      <c r="B19" s="26"/>
      <c r="C19" s="28"/>
      <c r="D19" s="38"/>
      <c r="E19" s="26"/>
      <c r="F19" s="39"/>
      <c r="G19" s="32"/>
      <c r="H19" s="34"/>
      <c r="I19" s="35">
        <f>IF(G19="SI","A pedido",IF(D19="","",IF((IF(A19="","Falta aeropuerto. ","")&amp;IF(C19="","Falta moneda. ","")&amp;IF(E19="","Falta unidad. ","")&amp;IF(AND(E19="Por kg",F19=""),"Falta mínimo. ","")&amp;IF(AND(B19&lt;&gt;"",COUNTIF(Listas!$D$2:$D$7,B19)=0,H19=""),"Revisar: concepto adicional sin descripción. ",""))="","Completa",IF(A19="","Falta aeropuerto. ","")&amp;IF(C19="","Falta moneda. ","")&amp;IF(E19="","Falta unidad. ","")&amp;IF(AND(E19="Por kg",F19=""),"Falta mínimo. ","")&amp;IF(AND(B19&lt;&gt;"",COUNTIF(Listas!$D$2:$D$7,B19)=0,H19=""),"Revisar: concepto adicional sin descripción. ",""))))</f>
      </c>
    </row>
    <row r="20" spans="1:9" x14ac:dyDescent="0.25">
      <c r="A20" s="26"/>
      <c r="B20" s="26"/>
      <c r="C20" s="28"/>
      <c r="D20" s="38"/>
      <c r="E20" s="26"/>
      <c r="F20" s="39"/>
      <c r="G20" s="32"/>
      <c r="H20" s="34"/>
      <c r="I20" s="35">
        <f>IF(G20="SI","A pedido",IF(D20="","",IF((IF(A20="","Falta aeropuerto. ","")&amp;IF(C20="","Falta moneda. ","")&amp;IF(E20="","Falta unidad. ","")&amp;IF(AND(E20="Por kg",F20=""),"Falta mínimo. ","")&amp;IF(AND(B20&lt;&gt;"",COUNTIF(Listas!$D$2:$D$7,B20)=0,H20=""),"Revisar: concepto adicional sin descripción. ",""))="","Completa",IF(A20="","Falta aeropuerto. ","")&amp;IF(C20="","Falta moneda. ","")&amp;IF(E20="","Falta unidad. ","")&amp;IF(AND(E20="Por kg",F20=""),"Falta mínimo. ","")&amp;IF(AND(B20&lt;&gt;"",COUNTIF(Listas!$D$2:$D$7,B20)=0,H20=""),"Revisar: concepto adicional sin descripción. ",""))))</f>
      </c>
    </row>
    <row r="21" spans="1:9" x14ac:dyDescent="0.25">
      <c r="A21" s="26"/>
      <c r="B21" s="26"/>
      <c r="C21" s="28"/>
      <c r="D21" s="38"/>
      <c r="E21" s="26"/>
      <c r="F21" s="39"/>
      <c r="G21" s="32"/>
      <c r="H21" s="34"/>
      <c r="I21" s="35">
        <f>IF(G21="SI","A pedido",IF(D21="","",IF((IF(A21="","Falta aeropuerto. ","")&amp;IF(C21="","Falta moneda. ","")&amp;IF(E21="","Falta unidad. ","")&amp;IF(AND(E21="Por kg",F21=""),"Falta mínimo. ","")&amp;IF(AND(B21&lt;&gt;"",COUNTIF(Listas!$D$2:$D$7,B21)=0,H21=""),"Revisar: concepto adicional sin descripción. ",""))="","Completa",IF(A21="","Falta aeropuerto. ","")&amp;IF(C21="","Falta moneda. ","")&amp;IF(E21="","Falta unidad. ","")&amp;IF(AND(E21="Por kg",F21=""),"Falta mínimo. ","")&amp;IF(AND(B21&lt;&gt;"",COUNTIF(Listas!$D$2:$D$7,B21)=0,H21=""),"Revisar: concepto adicional sin descripción. ",""))))</f>
      </c>
    </row>
    <row r="22" spans="1:9" x14ac:dyDescent="0.25">
      <c r="A22" s="26"/>
      <c r="B22" s="26"/>
      <c r="C22" s="28"/>
      <c r="D22" s="38"/>
      <c r="E22" s="26"/>
      <c r="F22" s="39"/>
      <c r="G22" s="32"/>
      <c r="H22" s="34"/>
      <c r="I22" s="35">
        <f>IF(G22="SI","A pedido",IF(D22="","",IF((IF(A22="","Falta aeropuerto. ","")&amp;IF(C22="","Falta moneda. ","")&amp;IF(E22="","Falta unidad. ","")&amp;IF(AND(E22="Por kg",F22=""),"Falta mínimo. ","")&amp;IF(AND(B22&lt;&gt;"",COUNTIF(Listas!$D$2:$D$7,B22)=0,H22=""),"Revisar: concepto adicional sin descripción. ",""))="","Completa",IF(A22="","Falta aeropuerto. ","")&amp;IF(C22="","Falta moneda. ","")&amp;IF(E22="","Falta unidad. ","")&amp;IF(AND(E22="Por kg",F22=""),"Falta mínimo. ","")&amp;IF(AND(B22&lt;&gt;"",COUNTIF(Listas!$D$2:$D$7,B22)=0,H22=""),"Revisar: concepto adicional sin descripción. ",""))))</f>
      </c>
    </row>
    <row r="23" spans="1:9" x14ac:dyDescent="0.25">
      <c r="A23" s="26"/>
      <c r="B23" s="26"/>
      <c r="C23" s="28"/>
      <c r="D23" s="38"/>
      <c r="E23" s="26"/>
      <c r="F23" s="39"/>
      <c r="G23" s="32"/>
      <c r="H23" s="34"/>
      <c r="I23" s="35">
        <f>IF(G23="SI","A pedido",IF(D23="","",IF((IF(A23="","Falta aeropuerto. ","")&amp;IF(C23="","Falta moneda. ","")&amp;IF(E23="","Falta unidad. ","")&amp;IF(AND(E23="Por kg",F23=""),"Falta mínimo. ","")&amp;IF(AND(B23&lt;&gt;"",COUNTIF(Listas!$D$2:$D$7,B23)=0,H23=""),"Revisar: concepto adicional sin descripción. ",""))="","Completa",IF(A23="","Falta aeropuerto. ","")&amp;IF(C23="","Falta moneda. ","")&amp;IF(E23="","Falta unidad. ","")&amp;IF(AND(E23="Por kg",F23=""),"Falta mínimo. ","")&amp;IF(AND(B23&lt;&gt;"",COUNTIF(Listas!$D$2:$D$7,B23)=0,H23=""),"Revisar: concepto adicional sin descripción. ",""))))</f>
      </c>
    </row>
    <row r="24" spans="1:9" x14ac:dyDescent="0.25">
      <c r="A24" s="26"/>
      <c r="B24" s="26"/>
      <c r="C24" s="28"/>
      <c r="D24" s="38"/>
      <c r="E24" s="26"/>
      <c r="F24" s="39"/>
      <c r="G24" s="32"/>
      <c r="H24" s="34"/>
      <c r="I24" s="35">
        <f>IF(G24="SI","A pedido",IF(D24="","",IF((IF(A24="","Falta aeropuerto. ","")&amp;IF(C24="","Falta moneda. ","")&amp;IF(E24="","Falta unidad. ","")&amp;IF(AND(E24="Por kg",F24=""),"Falta mínimo. ","")&amp;IF(AND(B24&lt;&gt;"",COUNTIF(Listas!$D$2:$D$7,B24)=0,H24=""),"Revisar: concepto adicional sin descripción. ",""))="","Completa",IF(A24="","Falta aeropuerto. ","")&amp;IF(C24="","Falta moneda. ","")&amp;IF(E24="","Falta unidad. ","")&amp;IF(AND(E24="Por kg",F24=""),"Falta mínimo. ","")&amp;IF(AND(B24&lt;&gt;"",COUNTIF(Listas!$D$2:$D$7,B24)=0,H24=""),"Revisar: concepto adicional sin descripción. ",""))))</f>
      </c>
    </row>
    <row r="25" spans="1:9" x14ac:dyDescent="0.25">
      <c r="A25" s="26"/>
      <c r="B25" s="26"/>
      <c r="C25" s="28"/>
      <c r="D25" s="38"/>
      <c r="E25" s="26"/>
      <c r="F25" s="39"/>
      <c r="G25" s="32"/>
      <c r="H25" s="34"/>
      <c r="I25" s="35">
        <f>IF(G25="SI","A pedido",IF(D25="","",IF((IF(A25="","Falta aeropuerto. ","")&amp;IF(C25="","Falta moneda. ","")&amp;IF(E25="","Falta unidad. ","")&amp;IF(AND(E25="Por kg",F25=""),"Falta mínimo. ","")&amp;IF(AND(B25&lt;&gt;"",COUNTIF(Listas!$D$2:$D$7,B25)=0,H25=""),"Revisar: concepto adicional sin descripción. ",""))="","Completa",IF(A25="","Falta aeropuerto. ","")&amp;IF(C25="","Falta moneda. ","")&amp;IF(E25="","Falta unidad. ","")&amp;IF(AND(E25="Por kg",F25=""),"Falta mínimo. ","")&amp;IF(AND(B25&lt;&gt;"",COUNTIF(Listas!$D$2:$D$7,B25)=0,H25=""),"Revisar: concepto adicional sin descripción. ",""))))</f>
      </c>
    </row>
    <row r="26" spans="1:9" x14ac:dyDescent="0.25">
      <c r="A26" s="26"/>
      <c r="B26" s="26"/>
      <c r="C26" s="28"/>
      <c r="D26" s="38"/>
      <c r="E26" s="26"/>
      <c r="F26" s="39"/>
      <c r="G26" s="32"/>
      <c r="H26" s="34"/>
      <c r="I26" s="35">
        <f>IF(G26="SI","A pedido",IF(D26="","",IF((IF(A26="","Falta aeropuerto. ","")&amp;IF(C26="","Falta moneda. ","")&amp;IF(E26="","Falta unidad. ","")&amp;IF(AND(E26="Por kg",F26=""),"Falta mínimo. ","")&amp;IF(AND(B26&lt;&gt;"",COUNTIF(Listas!$D$2:$D$7,B26)=0,H26=""),"Revisar: concepto adicional sin descripción. ",""))="","Completa",IF(A26="","Falta aeropuerto. ","")&amp;IF(C26="","Falta moneda. ","")&amp;IF(E26="","Falta unidad. ","")&amp;IF(AND(E26="Por kg",F26=""),"Falta mínimo. ","")&amp;IF(AND(B26&lt;&gt;"",COUNTIF(Listas!$D$2:$D$7,B26)=0,H26=""),"Revisar: concepto adicional sin descripción. ",""))))</f>
      </c>
    </row>
    <row r="27" spans="1:9" x14ac:dyDescent="0.25">
      <c r="A27" s="26"/>
      <c r="B27" s="26"/>
      <c r="C27" s="28"/>
      <c r="D27" s="38"/>
      <c r="E27" s="26"/>
      <c r="F27" s="39"/>
      <c r="G27" s="32"/>
      <c r="H27" s="34"/>
      <c r="I27" s="35">
        <f>IF(G27="SI","A pedido",IF(D27="","",IF((IF(A27="","Falta aeropuerto. ","")&amp;IF(C27="","Falta moneda. ","")&amp;IF(E27="","Falta unidad. ","")&amp;IF(AND(E27="Por kg",F27=""),"Falta mínimo. ","")&amp;IF(AND(B27&lt;&gt;"",COUNTIF(Listas!$D$2:$D$7,B27)=0,H27=""),"Revisar: concepto adicional sin descripción. ",""))="","Completa",IF(A27="","Falta aeropuerto. ","")&amp;IF(C27="","Falta moneda. ","")&amp;IF(E27="","Falta unidad. ","")&amp;IF(AND(E27="Por kg",F27=""),"Falta mínimo. ","")&amp;IF(AND(B27&lt;&gt;"",COUNTIF(Listas!$D$2:$D$7,B27)=0,H27=""),"Revisar: concepto adicional sin descripción. ",""))))</f>
      </c>
    </row>
    <row r="28" spans="1:9" x14ac:dyDescent="0.25">
      <c r="A28" s="26"/>
      <c r="B28" s="26"/>
      <c r="C28" s="28"/>
      <c r="D28" s="38"/>
      <c r="E28" s="26"/>
      <c r="F28" s="39"/>
      <c r="G28" s="32"/>
      <c r="H28" s="34"/>
      <c r="I28" s="35">
        <f>IF(G28="SI","A pedido",IF(D28="","",IF((IF(A28="","Falta aeropuerto. ","")&amp;IF(C28="","Falta moneda. ","")&amp;IF(E28="","Falta unidad. ","")&amp;IF(AND(E28="Por kg",F28=""),"Falta mínimo. ","")&amp;IF(AND(B28&lt;&gt;"",COUNTIF(Listas!$D$2:$D$7,B28)=0,H28=""),"Revisar: concepto adicional sin descripción. ",""))="","Completa",IF(A28="","Falta aeropuerto. ","")&amp;IF(C28="","Falta moneda. ","")&amp;IF(E28="","Falta unidad. ","")&amp;IF(AND(E28="Por kg",F28=""),"Falta mínimo. ","")&amp;IF(AND(B28&lt;&gt;"",COUNTIF(Listas!$D$2:$D$7,B28)=0,H28=""),"Revisar: concepto adicional sin descripción. ",""))))</f>
      </c>
    </row>
  </sheetData>
  <mergeCells count="3">
    <mergeCell ref="A1:I1"/>
    <mergeCell ref="A2:I2"/>
    <mergeCell ref="A3:G3"/>
  </mergeCells>
  <conditionalFormatting sqref="I5:I28">
    <cfRule type="expression" dxfId="5" priority="1">
      <formula>ISNUMBER(SEARCH("Falta",I5))</formula>
    </cfRule>
    <cfRule type="expression" dxfId="6" priority="2">
      <formula>ISNUMBER(SEARCH("Revisar",I5))</formula>
    </cfRule>
    <cfRule type="expression" dxfId="7" priority="3">
      <formula>ISNUMBER(SEARCH("Completa",I5))</formula>
    </cfRule>
    <cfRule type="expression" dxfId="8" priority="4">
      <formula>ISNUMBER(SEARCH("A pedido",I5))</formula>
    </cfRule>
    <cfRule type="expression" dxfId="9" priority="5">
      <formula>ISNUMBER(SEARCH("Sin cotizar",I5))</formula>
    </cfRule>
  </conditionalFormatting>
  <dataValidations count="7">
    <dataValidation type="list" allowBlank="1" showErrorMessage="1" errorStyle="stop" errorTitle="Valor fuera de la lista" error="Elegí un valor de la lista desplegable." sqref="A5:A28">
      <formula1>Listas!$A$2:$A$7</formula1>
    </dataValidation>
    <dataValidation type="list" allowBlank="1" showErrorMessage="1" errorStyle="information" errorTitle="Valor fuera de la lista" error="No está en la lista. Si es un concepto adicional, completá la Descripción." sqref="B5:B28">
      <formula1>Listas!$D$2:$D$7</formula1>
    </dataValidation>
    <dataValidation type="list" allowBlank="1" showErrorMessage="1" errorStyle="stop" errorTitle="Valor fuera de la lista" error="Elegí un valor de la lista desplegable." sqref="C5:C28">
      <formula1>Listas!$C$2:$C$4</formula1>
    </dataValidation>
    <dataValidation type="decimal" operator="greaterThanOrEqual" allowBlank="1" showErrorMessage="1" errorTitle="Número inválido" error="Escribí solo el número, sin USD ni otros textos." sqref="D5:D28">
      <formula1>0</formula1>
    </dataValidation>
    <dataValidation type="list" allowBlank="1" showErrorMessage="1" errorStyle="stop" errorTitle="Valor fuera de la lista" error="Elegí un valor de la lista desplegable." sqref="E5:E28">
      <formula1>Listas!$E$2:$E$3</formula1>
    </dataValidation>
    <dataValidation type="decimal" operator="greaterThanOrEqual" allowBlank="1" showErrorMessage="1" errorTitle="Número inválido" error="Escribí solo el número, sin USD ni otros textos." sqref="F5:F28">
      <formula1>0</formula1>
    </dataValidation>
    <dataValidation type="list" allowBlank="1" showErrorMessage="1" errorStyle="stop" errorTitle="Valor fuera de la lista" error="Elegí un valor de la lista desplegable." sqref="G5:G28">
      <formula1>Listas!$F$2:$F$3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Tarifario</vt:lpstr>
      <vt:lpstr>Gastos en origen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BIDCOM</dc:creator>
  <dc:title/>
  <dc:subject/>
  <dc:description/>
  <cp:keywords/>
  <cp:category/>
  <cp:lastModifiedBy>Unknown</cp:lastModifiedBy>
  <dcterms:created xsi:type="dcterms:W3CDTF">2026-10-07T22:17:55Z</dcterms:created>
  <dcterms:modified xsi:type="dcterms:W3CDTF">2026-10-07T22:17:55Z</dcterms:modified>
</cp:coreProperties>
</file>